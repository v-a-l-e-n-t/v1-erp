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nuellacoco\OneDrive - SAEPP\Documents\SUIVI DE STOCKS 2026\SUIVI DE STOCK JANVIER\"/>
    </mc:Choice>
  </mc:AlternateContent>
  <bookViews>
    <workbookView xWindow="0" yWindow="0" windowWidth="28800" windowHeight="12432" tabRatio="850" firstSheet="1" activeTab="9"/>
  </bookViews>
  <sheets>
    <sheet name="Accueil" sheetId="8" r:id="rId1"/>
    <sheet name="Btles Neuve _ DV" sheetId="2" r:id="rId2"/>
    <sheet name="Btles HS _ DV" sheetId="1" r:id="rId3"/>
    <sheet name="RECONFIGURATION" sheetId="22" r:id="rId4"/>
    <sheet name="Consigne _ CE" sheetId="5" r:id="rId5"/>
    <sheet name="PARC BOUTEILLES CE (PI &amp; TEMCI)" sheetId="18" r:id="rId6"/>
    <sheet name="Synthèses Stocks (2)" sheetId="21" state="hidden" r:id="rId7"/>
    <sheet name="STOCK OUTILS VIVO" sheetId="17" r:id="rId8"/>
    <sheet name="PEINTURE TDS " sheetId="6" r:id="rId9"/>
    <sheet name="Synthèses Stocks" sheetId="20" r:id="rId10"/>
  </sheets>
  <definedNames>
    <definedName name="_xlnm._FilterDatabase" localSheetId="2" hidden="1">'Btles HS _ DV'!$B$31:$H$38</definedName>
    <definedName name="_xlnm._FilterDatabase" localSheetId="4" hidden="1">'Consigne _ CE'!$B$8:$K$19</definedName>
    <definedName name="_xlnm._FilterDatabase" localSheetId="5" hidden="1">'PARC BOUTEILLES CE (PI &amp; TEMCI)'!$B$8:$G$14</definedName>
    <definedName name="_xlnm._FilterDatabase" localSheetId="8" hidden="1">'PEINTURE TDS '!$B$31:$H$45</definedName>
    <definedName name="_xlnm._FilterDatabase" localSheetId="3" hidden="1">RECONFIGURATION!$B$25:$H$32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" i="18" l="1"/>
  <c r="J39" i="18"/>
  <c r="Q14" i="18"/>
  <c r="J14" i="18"/>
  <c r="Q37" i="1"/>
  <c r="R37" i="1" s="1"/>
  <c r="J37" i="1"/>
  <c r="Q14" i="1"/>
  <c r="R14" i="1" s="1"/>
  <c r="J14" i="1"/>
  <c r="K14" i="1" s="1"/>
  <c r="H10" i="1"/>
  <c r="H39" i="5"/>
  <c r="K39" i="5" s="1"/>
  <c r="O39" i="5"/>
  <c r="R39" i="5"/>
  <c r="H37" i="5"/>
  <c r="J18" i="5"/>
  <c r="R14" i="5"/>
  <c r="R15" i="5"/>
  <c r="R16" i="5"/>
  <c r="R17" i="5"/>
  <c r="R18" i="5"/>
  <c r="R19" i="5"/>
  <c r="R13" i="5"/>
  <c r="R20" i="5"/>
  <c r="R21" i="5"/>
  <c r="O14" i="5"/>
  <c r="O15" i="5"/>
  <c r="O16" i="5" s="1"/>
  <c r="O17" i="5" s="1"/>
  <c r="O18" i="5" s="1"/>
  <c r="O19" i="5"/>
  <c r="R34" i="1"/>
  <c r="R35" i="1"/>
  <c r="R36" i="1"/>
  <c r="R38" i="1"/>
  <c r="R39" i="1"/>
  <c r="R40" i="1"/>
  <c r="O35" i="1"/>
  <c r="O36" i="1"/>
  <c r="O37" i="1" s="1"/>
  <c r="O14" i="1"/>
  <c r="R13" i="1"/>
  <c r="R15" i="1"/>
  <c r="R16" i="1"/>
  <c r="R17" i="1"/>
  <c r="R18" i="1"/>
  <c r="R19" i="1"/>
  <c r="O13" i="1"/>
  <c r="K13" i="1"/>
  <c r="K15" i="1"/>
  <c r="K16" i="1"/>
  <c r="K17" i="1"/>
  <c r="K18" i="1"/>
  <c r="K19" i="1"/>
  <c r="H20" i="1"/>
  <c r="K20" i="1"/>
  <c r="O20" i="1"/>
  <c r="R20" i="1"/>
  <c r="H34" i="2"/>
  <c r="K34" i="2" s="1"/>
  <c r="O34" i="2"/>
  <c r="R34" i="2" s="1"/>
  <c r="H17" i="2"/>
  <c r="K17" i="2"/>
  <c r="O17" i="2"/>
  <c r="R17" i="2"/>
  <c r="H14" i="18"/>
  <c r="O14" i="18"/>
  <c r="R14" i="18" s="1"/>
  <c r="H17" i="5"/>
  <c r="H18" i="5" s="1"/>
  <c r="K14" i="5"/>
  <c r="K15" i="5"/>
  <c r="K16" i="5"/>
  <c r="K17" i="5"/>
  <c r="K18" i="5"/>
  <c r="H16" i="5"/>
  <c r="H14" i="5"/>
  <c r="H15" i="5" s="1"/>
  <c r="H19" i="5"/>
  <c r="K19" i="5"/>
  <c r="H20" i="5"/>
  <c r="K20" i="5"/>
  <c r="O20" i="5"/>
  <c r="H21" i="5"/>
  <c r="K21" i="5"/>
  <c r="O21" i="5"/>
  <c r="K14" i="18" l="1"/>
  <c r="O35" i="2"/>
  <c r="R35" i="2" s="1"/>
  <c r="H35" i="2"/>
  <c r="K35" i="2" s="1"/>
  <c r="R35" i="18"/>
  <c r="R37" i="18"/>
  <c r="R39" i="18"/>
  <c r="R40" i="18"/>
  <c r="R41" i="18"/>
  <c r="R42" i="18"/>
  <c r="R43" i="18"/>
  <c r="R44" i="18"/>
  <c r="J11" i="18" l="1"/>
  <c r="Q36" i="18"/>
  <c r="J36" i="18"/>
  <c r="Q11" i="18"/>
  <c r="O11" i="5"/>
  <c r="H13" i="5"/>
  <c r="H11" i="5"/>
  <c r="H12" i="5" s="1"/>
  <c r="O33" i="2"/>
  <c r="H33" i="2"/>
  <c r="K12" i="2"/>
  <c r="K13" i="2"/>
  <c r="K14" i="2"/>
  <c r="K15" i="2"/>
  <c r="K16" i="2"/>
  <c r="H11" i="2"/>
  <c r="H12" i="2" s="1"/>
  <c r="Q10" i="1"/>
  <c r="H37" i="18"/>
  <c r="H38" i="18"/>
  <c r="H39" i="18"/>
  <c r="H40" i="18"/>
  <c r="H36" i="18"/>
  <c r="K11" i="2" l="1"/>
  <c r="O34" i="1"/>
  <c r="H34" i="1"/>
  <c r="O11" i="1"/>
  <c r="H11" i="1"/>
  <c r="O10" i="22" l="1"/>
  <c r="J10" i="22"/>
  <c r="H10" i="22"/>
  <c r="O27" i="22"/>
  <c r="Q27" i="22" s="1"/>
  <c r="R27" i="22" s="1"/>
  <c r="H27" i="22"/>
  <c r="J27" i="22" s="1"/>
  <c r="K27" i="22" s="1"/>
  <c r="K11" i="1"/>
  <c r="P11" i="1"/>
  <c r="Q11" i="1" s="1"/>
  <c r="Q34" i="1"/>
  <c r="J34" i="1"/>
  <c r="K34" i="1" s="1"/>
  <c r="Q33" i="1"/>
  <c r="J33" i="1"/>
  <c r="K43" i="6"/>
  <c r="K44" i="6"/>
  <c r="K34" i="6"/>
  <c r="K35" i="6"/>
  <c r="K36" i="6"/>
  <c r="K37" i="6"/>
  <c r="K38" i="6"/>
  <c r="K39" i="6"/>
  <c r="K40" i="6"/>
  <c r="K41" i="6"/>
  <c r="K42" i="6"/>
  <c r="K36" i="18"/>
  <c r="K37" i="18"/>
  <c r="K38" i="18"/>
  <c r="K39" i="18"/>
  <c r="O40" i="18"/>
  <c r="O41" i="18"/>
  <c r="O42" i="18"/>
  <c r="O36" i="18"/>
  <c r="O11" i="18"/>
  <c r="R12" i="18"/>
  <c r="R13" i="18"/>
  <c r="O12" i="18"/>
  <c r="O13" i="18"/>
  <c r="H12" i="18"/>
  <c r="H11" i="18"/>
  <c r="K11" i="18" s="1"/>
  <c r="R14" i="17"/>
  <c r="R15" i="17"/>
  <c r="R16" i="17"/>
  <c r="R17" i="17"/>
  <c r="K15" i="17"/>
  <c r="K16" i="17"/>
  <c r="R40" i="5"/>
  <c r="R41" i="5"/>
  <c r="R42" i="5"/>
  <c r="K40" i="5"/>
  <c r="K41" i="5"/>
  <c r="K42" i="5"/>
  <c r="K36" i="5"/>
  <c r="K12" i="5"/>
  <c r="R39" i="22"/>
  <c r="G39" i="22"/>
  <c r="R38" i="22"/>
  <c r="G38" i="22"/>
  <c r="R36" i="22"/>
  <c r="O36" i="22"/>
  <c r="K36" i="22"/>
  <c r="H36" i="22"/>
  <c r="R35" i="22"/>
  <c r="O35" i="22"/>
  <c r="K35" i="22"/>
  <c r="H35" i="22"/>
  <c r="R34" i="22"/>
  <c r="O34" i="22"/>
  <c r="K34" i="22"/>
  <c r="H34" i="22"/>
  <c r="R33" i="22"/>
  <c r="O33" i="22"/>
  <c r="K33" i="22"/>
  <c r="H33" i="22"/>
  <c r="R32" i="22"/>
  <c r="O32" i="22"/>
  <c r="K32" i="22"/>
  <c r="H32" i="22"/>
  <c r="R31" i="22"/>
  <c r="O31" i="22"/>
  <c r="K31" i="22"/>
  <c r="H31" i="22"/>
  <c r="R30" i="22"/>
  <c r="O30" i="22"/>
  <c r="K30" i="22"/>
  <c r="H30" i="22"/>
  <c r="R28" i="22"/>
  <c r="O28" i="22"/>
  <c r="O29" i="22" s="1"/>
  <c r="K28" i="22"/>
  <c r="H28" i="22"/>
  <c r="H29" i="22" s="1"/>
  <c r="K29" i="22" s="1"/>
  <c r="R26" i="22"/>
  <c r="K26" i="22"/>
  <c r="R18" i="22"/>
  <c r="G18" i="22"/>
  <c r="R17" i="22"/>
  <c r="G17" i="22"/>
  <c r="R16" i="22"/>
  <c r="R15" i="22"/>
  <c r="O15" i="22"/>
  <c r="K15" i="22"/>
  <c r="H15" i="22"/>
  <c r="R14" i="22"/>
  <c r="O14" i="22"/>
  <c r="K14" i="22"/>
  <c r="H14" i="22"/>
  <c r="R13" i="22"/>
  <c r="O13" i="22"/>
  <c r="K13" i="22"/>
  <c r="H13" i="22"/>
  <c r="R11" i="22"/>
  <c r="O11" i="22"/>
  <c r="O12" i="22" s="1"/>
  <c r="R12" i="22" s="1"/>
  <c r="K11" i="22"/>
  <c r="H11" i="22"/>
  <c r="H12" i="22" s="1"/>
  <c r="P10" i="22"/>
  <c r="Q10" i="22" s="1"/>
  <c r="R10" i="22" s="1"/>
  <c r="K10" i="22"/>
  <c r="R9" i="22"/>
  <c r="K9" i="22"/>
  <c r="R3" i="22"/>
  <c r="O37" i="18" l="1"/>
  <c r="O38" i="18" s="1"/>
  <c r="R36" i="18"/>
  <c r="R11" i="18"/>
  <c r="K12" i="22"/>
  <c r="R29" i="22"/>
  <c r="R3" i="1"/>
  <c r="R3" i="18"/>
  <c r="R3" i="17"/>
  <c r="R3" i="5"/>
  <c r="R3" i="2"/>
  <c r="S3" i="20"/>
  <c r="V1" i="20"/>
  <c r="R24" i="1"/>
  <c r="R23" i="1"/>
  <c r="G24" i="1"/>
  <c r="G23" i="1"/>
  <c r="R45" i="1"/>
  <c r="R44" i="1"/>
  <c r="G45" i="1"/>
  <c r="G44" i="1"/>
  <c r="G25" i="5"/>
  <c r="G24" i="5"/>
  <c r="R25" i="5"/>
  <c r="R24" i="5"/>
  <c r="R63" i="2"/>
  <c r="R62" i="2"/>
  <c r="G63" i="2"/>
  <c r="G62" i="2"/>
  <c r="R43" i="2"/>
  <c r="R42" i="2"/>
  <c r="G43" i="2"/>
  <c r="G42" i="2"/>
  <c r="R23" i="2"/>
  <c r="R22" i="2"/>
  <c r="G23" i="2"/>
  <c r="G22" i="2"/>
  <c r="R47" i="5"/>
  <c r="R46" i="5"/>
  <c r="G47" i="5"/>
  <c r="G46" i="5"/>
  <c r="O19" i="1"/>
  <c r="H19" i="1"/>
  <c r="O38" i="1"/>
  <c r="O39" i="1"/>
  <c r="O40" i="1"/>
  <c r="O41" i="1"/>
  <c r="H36" i="1"/>
  <c r="H37" i="1"/>
  <c r="H38" i="1"/>
  <c r="H39" i="1"/>
  <c r="H40" i="1"/>
  <c r="H41" i="1"/>
  <c r="O15" i="18"/>
  <c r="O16" i="18"/>
  <c r="O17" i="18"/>
  <c r="O18" i="18"/>
  <c r="O19" i="18"/>
  <c r="O20" i="18"/>
  <c r="O21" i="18"/>
  <c r="O22" i="18"/>
  <c r="O12" i="17"/>
  <c r="O13" i="17"/>
  <c r="O14" i="17"/>
  <c r="O15" i="17"/>
  <c r="O16" i="17"/>
  <c r="O17" i="17"/>
  <c r="H12" i="17"/>
  <c r="H13" i="17"/>
  <c r="H14" i="17"/>
  <c r="H15" i="17"/>
  <c r="H16" i="17"/>
  <c r="H17" i="17"/>
  <c r="O55" i="2"/>
  <c r="O56" i="2"/>
  <c r="O57" i="2"/>
  <c r="O58" i="2"/>
  <c r="O59" i="2"/>
  <c r="H57" i="2"/>
  <c r="H58" i="2"/>
  <c r="H59" i="2"/>
  <c r="O37" i="2"/>
  <c r="O38" i="2"/>
  <c r="O39" i="2"/>
  <c r="H38" i="2"/>
  <c r="H39" i="2"/>
  <c r="O15" i="2"/>
  <c r="O16" i="2"/>
  <c r="O18" i="2"/>
  <c r="O19" i="2"/>
  <c r="H16" i="2"/>
  <c r="H18" i="2"/>
  <c r="H19" i="2"/>
  <c r="R53" i="18"/>
  <c r="R52" i="18"/>
  <c r="G53" i="18"/>
  <c r="G52" i="18"/>
  <c r="R45" i="18"/>
  <c r="R46" i="18"/>
  <c r="R47" i="18"/>
  <c r="R48" i="18"/>
  <c r="R49" i="18"/>
  <c r="K40" i="18"/>
  <c r="K41" i="18"/>
  <c r="K43" i="18"/>
  <c r="K44" i="18"/>
  <c r="K45" i="18"/>
  <c r="K46" i="18"/>
  <c r="K47" i="18"/>
  <c r="K48" i="18"/>
  <c r="K49" i="18"/>
  <c r="H43" i="18"/>
  <c r="H44" i="18"/>
  <c r="H45" i="18"/>
  <c r="H46" i="18"/>
  <c r="H47" i="18"/>
  <c r="H48" i="18"/>
  <c r="H49" i="18"/>
  <c r="K15" i="18"/>
  <c r="K16" i="18"/>
  <c r="K17" i="18"/>
  <c r="K18" i="18"/>
  <c r="K19" i="18"/>
  <c r="K20" i="18"/>
  <c r="K21" i="18"/>
  <c r="K22" i="18"/>
  <c r="H15" i="18"/>
  <c r="H16" i="18"/>
  <c r="H17" i="18"/>
  <c r="H18" i="18"/>
  <c r="H19" i="18"/>
  <c r="H20" i="18"/>
  <c r="H21" i="18"/>
  <c r="H22" i="18"/>
  <c r="H41" i="18"/>
  <c r="H42" i="18" s="1"/>
  <c r="K42" i="18" s="1"/>
  <c r="K12" i="18"/>
  <c r="R12" i="5"/>
  <c r="K37" i="2"/>
  <c r="R37" i="2"/>
  <c r="K38" i="2"/>
  <c r="R38" i="2"/>
  <c r="K39" i="2"/>
  <c r="R39" i="2"/>
  <c r="O39" i="18" l="1"/>
  <c r="R38" i="18"/>
  <c r="K36" i="2"/>
  <c r="R36" i="2"/>
  <c r="O21" i="1"/>
  <c r="R41" i="1"/>
  <c r="K39" i="1"/>
  <c r="K40" i="1"/>
  <c r="R15" i="18"/>
  <c r="R16" i="18"/>
  <c r="R17" i="18"/>
  <c r="R19" i="18"/>
  <c r="R20" i="18"/>
  <c r="R21" i="18"/>
  <c r="R22" i="18"/>
  <c r="H37" i="2" l="1"/>
  <c r="O41" i="5"/>
  <c r="K14" i="17"/>
  <c r="O42" i="5"/>
  <c r="K19" i="2"/>
  <c r="K18" i="2"/>
  <c r="R18" i="2" l="1"/>
  <c r="O49" i="18" l="1"/>
  <c r="K50" i="18"/>
  <c r="R50" i="18"/>
  <c r="K41" i="1" l="1"/>
  <c r="O43" i="5"/>
  <c r="R43" i="5" s="1"/>
  <c r="K43" i="5"/>
  <c r="R24" i="20" a="1"/>
  <c r="R24" i="20" s="1"/>
  <c r="R9" i="20" a="1"/>
  <c r="R9" i="20" s="1"/>
  <c r="R25" i="18"/>
  <c r="G26" i="18"/>
  <c r="G25" i="18"/>
  <c r="J39" i="20" a="1"/>
  <c r="J39" i="20" s="1"/>
  <c r="J24" i="20" a="1"/>
  <c r="J24" i="20" s="1"/>
  <c r="N12" i="20"/>
  <c r="R47" i="21"/>
  <c r="T45" i="21"/>
  <c r="K45" i="21"/>
  <c r="T44" i="21"/>
  <c r="Q44" i="21"/>
  <c r="K44" i="21"/>
  <c r="H44" i="21"/>
  <c r="T43" i="21"/>
  <c r="Q43" i="21"/>
  <c r="K43" i="21"/>
  <c r="H43" i="21"/>
  <c r="T42" i="21"/>
  <c r="Q42" i="21"/>
  <c r="K42" i="21"/>
  <c r="H42" i="21"/>
  <c r="N41" i="21"/>
  <c r="E41" i="21"/>
  <c r="T40" i="21"/>
  <c r="Q40" i="21"/>
  <c r="K40" i="21"/>
  <c r="H40" i="21"/>
  <c r="T39" i="21"/>
  <c r="Q39" i="21"/>
  <c r="E39" i="21"/>
  <c r="T38" i="21"/>
  <c r="K38" i="21"/>
  <c r="R32" i="21"/>
  <c r="T30" i="21"/>
  <c r="K30" i="21"/>
  <c r="T29" i="21"/>
  <c r="K29" i="21"/>
  <c r="T28" i="21"/>
  <c r="N28" i="21"/>
  <c r="K28" i="21"/>
  <c r="E28" i="21"/>
  <c r="N27" i="21"/>
  <c r="E27" i="21"/>
  <c r="N26" i="21"/>
  <c r="E26" i="21"/>
  <c r="N25" i="21"/>
  <c r="E25" i="21"/>
  <c r="N24" i="21"/>
  <c r="E24" i="21"/>
  <c r="T23" i="21"/>
  <c r="K23" i="21"/>
  <c r="R17" i="21"/>
  <c r="T15" i="21"/>
  <c r="K15" i="21"/>
  <c r="T14" i="21"/>
  <c r="T13" i="21"/>
  <c r="N13" i="21"/>
  <c r="K13" i="21"/>
  <c r="E13" i="21"/>
  <c r="E12" i="21"/>
  <c r="N11" i="21"/>
  <c r="H11" i="21"/>
  <c r="K11" i="21" s="1"/>
  <c r="N10" i="21"/>
  <c r="H10" i="21"/>
  <c r="K10" i="21" s="1"/>
  <c r="H9" i="21"/>
  <c r="T8" i="21"/>
  <c r="K8" i="21"/>
  <c r="K9" i="21" l="1"/>
  <c r="K57" i="2"/>
  <c r="R58" i="2"/>
  <c r="K59" i="2"/>
  <c r="R48" i="6"/>
  <c r="P28" i="21" s="1"/>
  <c r="R47" i="6"/>
  <c r="O28" i="21" s="1"/>
  <c r="G48" i="6"/>
  <c r="G28" i="21" s="1"/>
  <c r="G47" i="6"/>
  <c r="F28" i="21" s="1"/>
  <c r="G24" i="6"/>
  <c r="G13" i="21" s="1"/>
  <c r="R24" i="6"/>
  <c r="P13" i="21" s="1"/>
  <c r="R23" i="6"/>
  <c r="O13" i="21" s="1"/>
  <c r="G23" i="6"/>
  <c r="F13" i="21" s="1"/>
  <c r="R34" i="6"/>
  <c r="R35" i="6"/>
  <c r="R36" i="6"/>
  <c r="R37" i="6"/>
  <c r="R38" i="6"/>
  <c r="R39" i="6"/>
  <c r="R40" i="6"/>
  <c r="R41" i="6"/>
  <c r="R42" i="6"/>
  <c r="R43" i="6"/>
  <c r="O34" i="6"/>
  <c r="O35" i="6"/>
  <c r="O36" i="6"/>
  <c r="O37" i="6"/>
  <c r="O38" i="6"/>
  <c r="O39" i="6"/>
  <c r="O40" i="6"/>
  <c r="O41" i="6"/>
  <c r="R44" i="5"/>
  <c r="O25" i="21"/>
  <c r="R26" i="18"/>
  <c r="O42" i="1"/>
  <c r="E39" i="20"/>
  <c r="R60" i="2"/>
  <c r="O60" i="2"/>
  <c r="K60" i="2"/>
  <c r="H60" i="2"/>
  <c r="R59" i="2"/>
  <c r="R57" i="2"/>
  <c r="R54" i="2"/>
  <c r="O52" i="2"/>
  <c r="K51" i="2"/>
  <c r="R50" i="2"/>
  <c r="K50" i="2"/>
  <c r="R11" i="6"/>
  <c r="R12" i="6"/>
  <c r="R13" i="6"/>
  <c r="R14" i="6"/>
  <c r="R15" i="6"/>
  <c r="R16" i="6"/>
  <c r="R17" i="6"/>
  <c r="R18" i="6"/>
  <c r="R19" i="6"/>
  <c r="K11" i="6"/>
  <c r="K12" i="6"/>
  <c r="K14" i="6"/>
  <c r="K15" i="6"/>
  <c r="K16" i="6"/>
  <c r="K17" i="6"/>
  <c r="K18" i="6"/>
  <c r="K19" i="6"/>
  <c r="H18" i="6"/>
  <c r="H19" i="6"/>
  <c r="O23" i="18"/>
  <c r="H23" i="18"/>
  <c r="Q28" i="21" l="1"/>
  <c r="H28" i="21"/>
  <c r="H13" i="21"/>
  <c r="Q13" i="21"/>
  <c r="J41" i="20" a="1"/>
  <c r="J41" i="20" s="1"/>
  <c r="R41" i="20" a="1"/>
  <c r="R41" i="20" s="1"/>
  <c r="R10" i="20" a="1"/>
  <c r="R10" i="20" s="1"/>
  <c r="J10" i="20" a="1"/>
  <c r="J10" i="20" s="1"/>
  <c r="F39" i="20"/>
  <c r="F39" i="21"/>
  <c r="G39" i="20"/>
  <c r="G39" i="21"/>
  <c r="H52" i="2"/>
  <c r="K52" i="2" s="1"/>
  <c r="O53" i="2"/>
  <c r="R52" i="2"/>
  <c r="R51" i="2"/>
  <c r="Q47" i="20"/>
  <c r="Q32" i="20"/>
  <c r="Q17" i="20"/>
  <c r="M28" i="20"/>
  <c r="E28" i="20"/>
  <c r="M13" i="20"/>
  <c r="E13" i="20"/>
  <c r="M41" i="20"/>
  <c r="E41" i="20"/>
  <c r="M27" i="20"/>
  <c r="E27" i="20"/>
  <c r="E12" i="20"/>
  <c r="S44" i="20"/>
  <c r="P44" i="20"/>
  <c r="S43" i="20"/>
  <c r="P43" i="20"/>
  <c r="S42" i="20"/>
  <c r="P42" i="20"/>
  <c r="S40" i="20"/>
  <c r="S39" i="20"/>
  <c r="P39" i="20"/>
  <c r="K44" i="20"/>
  <c r="H44" i="20"/>
  <c r="K43" i="20"/>
  <c r="H43" i="20"/>
  <c r="K42" i="20"/>
  <c r="H42" i="20"/>
  <c r="K40" i="20"/>
  <c r="M26" i="20"/>
  <c r="E26" i="20"/>
  <c r="M11" i="20"/>
  <c r="M25" i="20"/>
  <c r="S28" i="20"/>
  <c r="S29" i="20"/>
  <c r="K28" i="20"/>
  <c r="K29" i="20"/>
  <c r="E25" i="20"/>
  <c r="S15" i="20"/>
  <c r="S14" i="20"/>
  <c r="S13" i="20"/>
  <c r="M10" i="20"/>
  <c r="E10" i="20"/>
  <c r="M24" i="20"/>
  <c r="E24" i="20"/>
  <c r="M9" i="20"/>
  <c r="E9" i="20"/>
  <c r="S45" i="20"/>
  <c r="K45" i="20"/>
  <c r="S38" i="20"/>
  <c r="K38" i="20"/>
  <c r="S30" i="20"/>
  <c r="K30" i="20"/>
  <c r="S23" i="20"/>
  <c r="K23" i="20"/>
  <c r="K15" i="20"/>
  <c r="K13" i="20"/>
  <c r="S8" i="20"/>
  <c r="K8" i="20"/>
  <c r="R36" i="5"/>
  <c r="E11" i="20" l="1"/>
  <c r="H39" i="20"/>
  <c r="K39" i="20" s="1"/>
  <c r="H39" i="21"/>
  <c r="H53" i="2"/>
  <c r="O54" i="2"/>
  <c r="R53" i="2"/>
  <c r="J9" i="20" a="1"/>
  <c r="J9" i="20" s="1"/>
  <c r="J12" i="20" a="1"/>
  <c r="J12" i="20" s="1"/>
  <c r="R27" i="20" a="1"/>
  <c r="R27" i="20" s="1"/>
  <c r="J27" i="20" a="1"/>
  <c r="J27" i="20" s="1"/>
  <c r="J26" i="20" a="1"/>
  <c r="J26" i="20" s="1"/>
  <c r="R11" i="20" a="1"/>
  <c r="R11" i="20" s="1"/>
  <c r="R34" i="18"/>
  <c r="K34" i="18"/>
  <c r="G11" i="20"/>
  <c r="R23" i="18"/>
  <c r="K23" i="18"/>
  <c r="F11" i="20"/>
  <c r="R9" i="18"/>
  <c r="K9" i="18"/>
  <c r="O38" i="5"/>
  <c r="O40" i="5" s="1"/>
  <c r="O13" i="5"/>
  <c r="O36" i="2"/>
  <c r="R10" i="2"/>
  <c r="O18" i="6"/>
  <c r="R26" i="20" l="1" a="1"/>
  <c r="R26" i="20" s="1"/>
  <c r="J11" i="20" a="1"/>
  <c r="J11" i="20" s="1"/>
  <c r="H11" i="20"/>
  <c r="K39" i="21"/>
  <c r="O11" i="20"/>
  <c r="P11" i="21"/>
  <c r="N11" i="20"/>
  <c r="O11" i="21"/>
  <c r="G26" i="20"/>
  <c r="G26" i="21"/>
  <c r="O26" i="20"/>
  <c r="P26" i="21"/>
  <c r="N26" i="20"/>
  <c r="O26" i="21"/>
  <c r="F26" i="20"/>
  <c r="F26" i="21"/>
  <c r="H54" i="2"/>
  <c r="K54" i="2" s="1"/>
  <c r="K53" i="2"/>
  <c r="R33" i="2"/>
  <c r="R55" i="2"/>
  <c r="R37" i="5"/>
  <c r="K10" i="5"/>
  <c r="K35" i="18"/>
  <c r="H13" i="18"/>
  <c r="K13" i="18" l="1"/>
  <c r="K11" i="20"/>
  <c r="H55" i="2"/>
  <c r="K55" i="2" s="1"/>
  <c r="H26" i="21"/>
  <c r="K26" i="21" s="1"/>
  <c r="H26" i="20"/>
  <c r="K26" i="20" s="1"/>
  <c r="Q26" i="21"/>
  <c r="T26" i="21" s="1"/>
  <c r="P26" i="20"/>
  <c r="S26" i="20" s="1"/>
  <c r="S11" i="20"/>
  <c r="Q11" i="21"/>
  <c r="T11" i="21" s="1"/>
  <c r="R56" i="2"/>
  <c r="R38" i="5"/>
  <c r="R10" i="18"/>
  <c r="K10" i="18"/>
  <c r="K13" i="5" l="1"/>
  <c r="H56" i="2"/>
  <c r="K56" i="2" s="1"/>
  <c r="O43" i="18" l="1"/>
  <c r="O44" i="18" s="1"/>
  <c r="H20" i="6"/>
  <c r="N13" i="20"/>
  <c r="N28" i="20"/>
  <c r="F28" i="20"/>
  <c r="F13" i="20"/>
  <c r="K58" i="2" l="1"/>
  <c r="K17" i="17"/>
  <c r="H36" i="2" l="1"/>
  <c r="K33" i="2" l="1"/>
  <c r="R32" i="2"/>
  <c r="K10" i="2"/>
  <c r="R12" i="2" l="1"/>
  <c r="H13" i="2"/>
  <c r="H14" i="2" s="1"/>
  <c r="H15" i="2" s="1"/>
  <c r="R13" i="2" l="1"/>
  <c r="K44" i="5" l="1"/>
  <c r="R10" i="5" l="1"/>
  <c r="K20" i="6" l="1"/>
  <c r="H11" i="17" l="1"/>
  <c r="K33" i="5"/>
  <c r="R33" i="5"/>
  <c r="K34" i="5"/>
  <c r="R34" i="5"/>
  <c r="H44" i="5"/>
  <c r="O44" i="5"/>
  <c r="N25" i="20"/>
  <c r="H18" i="17"/>
  <c r="R10" i="17"/>
  <c r="O18" i="17"/>
  <c r="R9" i="17"/>
  <c r="R18" i="17"/>
  <c r="R21" i="17"/>
  <c r="K9" i="17"/>
  <c r="K18" i="17"/>
  <c r="G21" i="17"/>
  <c r="O41" i="20" l="1"/>
  <c r="P41" i="21"/>
  <c r="G41" i="20"/>
  <c r="G41" i="21"/>
  <c r="F25" i="20"/>
  <c r="F25" i="21"/>
  <c r="O25" i="20"/>
  <c r="S25" i="20" s="1"/>
  <c r="P25" i="21"/>
  <c r="Q25" i="21" s="1"/>
  <c r="T25" i="21" s="1"/>
  <c r="G25" i="20"/>
  <c r="G25" i="21"/>
  <c r="K11" i="17"/>
  <c r="O11" i="17"/>
  <c r="G20" i="17"/>
  <c r="F41" i="21" s="1"/>
  <c r="K10" i="17"/>
  <c r="R20" i="17"/>
  <c r="H41" i="21" l="1"/>
  <c r="K41" i="21" s="1"/>
  <c r="K47" i="21" s="1"/>
  <c r="N41" i="20"/>
  <c r="S41" i="20" s="1"/>
  <c r="S47" i="20" s="1"/>
  <c r="O41" i="21"/>
  <c r="Q41" i="21" s="1"/>
  <c r="K25" i="20"/>
  <c r="H25" i="21"/>
  <c r="K25" i="21" s="1"/>
  <c r="H40" i="20"/>
  <c r="F41" i="20"/>
  <c r="R12" i="17"/>
  <c r="K37" i="5"/>
  <c r="H38" i="5"/>
  <c r="H40" i="5" s="1"/>
  <c r="K12" i="17"/>
  <c r="R11" i="17"/>
  <c r="H47" i="21" l="1"/>
  <c r="H41" i="20"/>
  <c r="K41" i="20" s="1"/>
  <c r="K47" i="20" s="1"/>
  <c r="T41" i="21"/>
  <c r="T47" i="21" s="1"/>
  <c r="Q47" i="21"/>
  <c r="R13" i="17"/>
  <c r="K38" i="5"/>
  <c r="K13" i="17"/>
  <c r="P40" i="20"/>
  <c r="P47" i="20" s="1"/>
  <c r="H47" i="20" l="1"/>
  <c r="R18" i="18"/>
  <c r="K42" i="1" l="1"/>
  <c r="H42" i="1"/>
  <c r="R21" i="1"/>
  <c r="R22" i="1"/>
  <c r="H10" i="6"/>
  <c r="H11" i="6" s="1"/>
  <c r="H12" i="6" s="1"/>
  <c r="H13" i="6" s="1"/>
  <c r="H14" i="6" l="1"/>
  <c r="H15" i="6" s="1"/>
  <c r="H16" i="6" s="1"/>
  <c r="H17" i="6" s="1"/>
  <c r="K13" i="6"/>
  <c r="O12" i="21" l="1"/>
  <c r="R40" i="2"/>
  <c r="K40" i="2"/>
  <c r="K38" i="1" l="1"/>
  <c r="F10" i="20" l="1"/>
  <c r="O28" i="20"/>
  <c r="P28" i="20" s="1"/>
  <c r="G28" i="20"/>
  <c r="H28" i="20" s="1"/>
  <c r="R45" i="6"/>
  <c r="O45" i="6"/>
  <c r="K45" i="6"/>
  <c r="H45" i="6"/>
  <c r="O33" i="6"/>
  <c r="R33" i="6" s="1"/>
  <c r="H33" i="6"/>
  <c r="K33" i="6" s="1"/>
  <c r="R32" i="6"/>
  <c r="K32" i="6"/>
  <c r="O13" i="20"/>
  <c r="P13" i="20" s="1"/>
  <c r="G13" i="20"/>
  <c r="H13" i="20" s="1"/>
  <c r="R21" i="6"/>
  <c r="O21" i="6"/>
  <c r="K21" i="6"/>
  <c r="H21" i="6"/>
  <c r="R20" i="6"/>
  <c r="O10" i="6"/>
  <c r="R10" i="6" s="1"/>
  <c r="K10" i="6"/>
  <c r="R9" i="6"/>
  <c r="K9" i="6"/>
  <c r="G10" i="20"/>
  <c r="K22" i="5"/>
  <c r="H22" i="5"/>
  <c r="R9" i="5"/>
  <c r="K9" i="5"/>
  <c r="O40" i="2"/>
  <c r="H40" i="2"/>
  <c r="K32" i="2"/>
  <c r="R31" i="2"/>
  <c r="K31" i="2"/>
  <c r="G9" i="20"/>
  <c r="F9" i="20"/>
  <c r="R20" i="2"/>
  <c r="O20" i="2"/>
  <c r="K20" i="2"/>
  <c r="H20" i="2"/>
  <c r="R19" i="2"/>
  <c r="R14" i="2"/>
  <c r="R9" i="2"/>
  <c r="K9" i="2"/>
  <c r="R42" i="1"/>
  <c r="R32" i="1"/>
  <c r="K32" i="1"/>
  <c r="R9" i="1"/>
  <c r="K21" i="1"/>
  <c r="K9" i="1"/>
  <c r="H21" i="1"/>
  <c r="H12" i="1" l="1"/>
  <c r="O12" i="1"/>
  <c r="P10" i="1"/>
  <c r="F24" i="20"/>
  <c r="F24" i="21"/>
  <c r="O9" i="20"/>
  <c r="P9" i="21"/>
  <c r="G24" i="20"/>
  <c r="G24" i="21"/>
  <c r="N9" i="20"/>
  <c r="O9" i="21"/>
  <c r="N24" i="20"/>
  <c r="O24" i="21"/>
  <c r="O24" i="20"/>
  <c r="P24" i="21"/>
  <c r="O10" i="20"/>
  <c r="P10" i="21"/>
  <c r="N10" i="20"/>
  <c r="O10" i="21"/>
  <c r="F27" i="20"/>
  <c r="F27" i="21"/>
  <c r="O27" i="20"/>
  <c r="P27" i="21"/>
  <c r="F12" i="20"/>
  <c r="F12" i="21"/>
  <c r="N27" i="20"/>
  <c r="O27" i="21"/>
  <c r="G12" i="20"/>
  <c r="G12" i="21"/>
  <c r="G27" i="20"/>
  <c r="G27" i="21"/>
  <c r="O12" i="20"/>
  <c r="P12" i="21"/>
  <c r="H9" i="20"/>
  <c r="K9" i="20" s="1"/>
  <c r="K10" i="20"/>
  <c r="K33" i="1"/>
  <c r="R15" i="2"/>
  <c r="R33" i="1"/>
  <c r="K10" i="1"/>
  <c r="K12" i="1" l="1"/>
  <c r="H13" i="1"/>
  <c r="H14" i="1" s="1"/>
  <c r="N12" i="21"/>
  <c r="Q12" i="21" s="1"/>
  <c r="T12" i="21" s="1"/>
  <c r="M12" i="20"/>
  <c r="R12" i="20" a="1"/>
  <c r="R12" i="20" s="1"/>
  <c r="R11" i="1"/>
  <c r="R10" i="1"/>
  <c r="Q9" i="21"/>
  <c r="T9" i="21" s="1"/>
  <c r="P9" i="20"/>
  <c r="S9" i="20" s="1"/>
  <c r="S10" i="20"/>
  <c r="Q27" i="21"/>
  <c r="T27" i="21" s="1"/>
  <c r="H27" i="20"/>
  <c r="K27" i="20" s="1"/>
  <c r="H24" i="20"/>
  <c r="K24" i="20" s="1"/>
  <c r="Q10" i="21"/>
  <c r="T10" i="21" s="1"/>
  <c r="P24" i="20"/>
  <c r="S24" i="20" s="1"/>
  <c r="Q24" i="21"/>
  <c r="T24" i="21" s="1"/>
  <c r="H24" i="21"/>
  <c r="K24" i="21" s="1"/>
  <c r="H12" i="21"/>
  <c r="K12" i="21" s="1"/>
  <c r="K17" i="21" s="1"/>
  <c r="H12" i="20"/>
  <c r="K12" i="20" s="1"/>
  <c r="K17" i="20" s="1"/>
  <c r="P27" i="20"/>
  <c r="S27" i="20" s="1"/>
  <c r="H27" i="21"/>
  <c r="K27" i="21" s="1"/>
  <c r="H35" i="1"/>
  <c r="R12" i="1"/>
  <c r="R16" i="2"/>
  <c r="S12" i="20" l="1"/>
  <c r="S17" i="20" s="1"/>
  <c r="P17" i="20"/>
  <c r="Q17" i="21"/>
  <c r="T17" i="21"/>
  <c r="K32" i="20"/>
  <c r="H32" i="20"/>
  <c r="S32" i="20"/>
  <c r="K32" i="21"/>
  <c r="H17" i="21"/>
  <c r="H32" i="21"/>
  <c r="Q32" i="21"/>
  <c r="T32" i="21"/>
  <c r="H17" i="20"/>
  <c r="P32" i="20"/>
  <c r="K35" i="1"/>
  <c r="K37" i="1"/>
  <c r="K36" i="1"/>
  <c r="H41" i="5" l="1"/>
  <c r="H43" i="5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<sst xmlns="http://schemas.openxmlformats.org/spreadsheetml/2006/main" count="671" uniqueCount="91">
  <si>
    <t>INVENTAIRE</t>
  </si>
  <si>
    <t>DATE</t>
  </si>
  <si>
    <t>QUANTITE</t>
  </si>
  <si>
    <t>ECART</t>
  </si>
  <si>
    <t>PROVENANCE / DESTINATION</t>
  </si>
  <si>
    <t>Bon</t>
  </si>
  <si>
    <t>FICHE DE SUIVI DE STOCKS</t>
  </si>
  <si>
    <t>TYPE DE MVT</t>
  </si>
  <si>
    <t>Entrée</t>
  </si>
  <si>
    <t>Sortie</t>
  </si>
  <si>
    <t>Année: 2025</t>
  </si>
  <si>
    <t>Cumul Entrée PI :</t>
  </si>
  <si>
    <t>Cumul Sortie PI :</t>
  </si>
  <si>
    <t>QUANTITE STOCK FINAL</t>
  </si>
  <si>
    <t>OPERATIONS</t>
  </si>
  <si>
    <t>BOUTEILLES HS - DEPOT VRAC</t>
  </si>
  <si>
    <t>B6</t>
  </si>
  <si>
    <t>B12</t>
  </si>
  <si>
    <t>Cumul Entrée B6 TEMCI :</t>
  </si>
  <si>
    <t>Cumul Sortie B6 TEMCI :</t>
  </si>
  <si>
    <t>Cumul Entrée B12 TEMCI :</t>
  </si>
  <si>
    <t>Cumul Sortie B12 TEMCI :</t>
  </si>
  <si>
    <t>SAEPP</t>
  </si>
  <si>
    <t>BOUTEILLES NEUVES - DEPOT VRAC</t>
  </si>
  <si>
    <t>Cumul Sortie B12 PI :</t>
  </si>
  <si>
    <t>Cumul Entrée B12 PI :</t>
  </si>
  <si>
    <t>BOUTEILLES HS - PI</t>
  </si>
  <si>
    <t>BOUTEILLES HS - TEMCI</t>
  </si>
  <si>
    <t>* HS : Hors Service</t>
  </si>
  <si>
    <t>BOUTEILLES NEUVES - PI</t>
  </si>
  <si>
    <t>BOUTEILLES NEUVES - TEMCI</t>
  </si>
  <si>
    <t>BOUTEILLES CONSIGNES - PI</t>
  </si>
  <si>
    <t>BOUTEILLES CONSIGNES - TEMCI</t>
  </si>
  <si>
    <t>BOUTEILLES CONSIGNES - CENTRE EMPLISSEUR</t>
  </si>
  <si>
    <t>Dépôt Vrac</t>
  </si>
  <si>
    <t>Bouteille HS</t>
  </si>
  <si>
    <t>Menu</t>
  </si>
  <si>
    <t>Bouteille Neuve</t>
  </si>
  <si>
    <t>Centre emplisseur</t>
  </si>
  <si>
    <t>Bouteille Consigne</t>
  </si>
  <si>
    <t>Bouteille Réépreuve</t>
  </si>
  <si>
    <t>Bouteille Peinture</t>
  </si>
  <si>
    <t xml:space="preserve"> DESTINATION / PROVENANCE</t>
  </si>
  <si>
    <t>STOCK OUTILS CE</t>
  </si>
  <si>
    <t xml:space="preserve">STOCK OUTILS_CE </t>
  </si>
  <si>
    <t xml:space="preserve">BOUTEILLES A LA PEINTURE </t>
  </si>
  <si>
    <t xml:space="preserve">INVENTAIRE </t>
  </si>
  <si>
    <t>STOCK OUTILS</t>
  </si>
  <si>
    <t>STOCK OUTILS VIVO ENERGY</t>
  </si>
  <si>
    <t>OPERATION</t>
  </si>
  <si>
    <t>BOUTEILLES A LA PEINTURE  PI</t>
  </si>
  <si>
    <t>BBOUTEILLES A LA PEINTURE - TEMCI</t>
  </si>
  <si>
    <t>Année:</t>
  </si>
  <si>
    <t>MOIS :</t>
  </si>
  <si>
    <t>BOUTEILLES PI</t>
  </si>
  <si>
    <t>TYPES DE STOCKS</t>
  </si>
  <si>
    <t>QUANTITE 
STOCK INITIAL</t>
  </si>
  <si>
    <t>ENTREE EN STOCKS</t>
  </si>
  <si>
    <t>SORTIE DE STOCKS</t>
  </si>
  <si>
    <t>JUSTIFICATIF D'ÉCART</t>
  </si>
  <si>
    <t>BOUTEILLES NEUVES</t>
  </si>
  <si>
    <t>BOUTEILLES CONSIGNES</t>
  </si>
  <si>
    <t>BOUTEILLES STOCK OUTIL</t>
  </si>
  <si>
    <t>BOUTEILLES HS</t>
  </si>
  <si>
    <t>BOUTEILLES TDS</t>
  </si>
  <si>
    <t>BOUTEILLES TEMCI</t>
  </si>
  <si>
    <t>BOUTEILLES VIVO ENERGY</t>
  </si>
  <si>
    <t>175 Bouteilles B6 sorties au shift de nuit sur le BT N°18926</t>
  </si>
  <si>
    <t>280 Bouteilles B12 sorties au shift de nuit sur le BT N°18926</t>
  </si>
  <si>
    <t>-1 Bouteille B12 Ecart non justifié</t>
  </si>
  <si>
    <t>JUILLET</t>
  </si>
  <si>
    <t>TOTAL</t>
  </si>
  <si>
    <t>BOUTEILLES NEUVES - VIVO ENERGY</t>
  </si>
  <si>
    <t>SYNTHESES - ETATS DE STOCKS AU 14/07/2025</t>
  </si>
  <si>
    <t>Cumul Entrée B6 VIVO:</t>
  </si>
  <si>
    <t>Cumul Sortie B6 VIVO:</t>
  </si>
  <si>
    <t>Cumul Entrée B12 VIVO :</t>
  </si>
  <si>
    <t>Cumul Sortie B12 VIVO :</t>
  </si>
  <si>
    <t>E</t>
  </si>
  <si>
    <t>OCTOBRE 2025</t>
  </si>
  <si>
    <t>BOUTEILLES RECONFIGURATIOB/MANDATAIRE - DEPOT VRAC</t>
  </si>
  <si>
    <t>NOVEMBRE 2025</t>
  </si>
  <si>
    <t>JANVIER 2026</t>
  </si>
  <si>
    <t>Année: 2026</t>
  </si>
  <si>
    <t>VENTE DE CONSIGNE</t>
  </si>
  <si>
    <t>BTLE NEUVES</t>
  </si>
  <si>
    <t>SORTIE HS</t>
  </si>
  <si>
    <t>APPRO CONSIGNE</t>
  </si>
  <si>
    <t>SORTIE CONSIGNE</t>
  </si>
  <si>
    <t>ENTRER HS</t>
  </si>
  <si>
    <t>SYNTHESES - ETATS DE STOCKS AU 05/01/2026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</si>
</sst>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64" formatCode="[$-40C]mmm\-yy"/>
    <numFmt numFmtId="165" formatCode="[$-F800]dddd\,\ mmmm\ dd\,\ yyyy"/>
    <numFmt numFmtId="166" formatCode="_-* #,##0\ _€_-;\-* #,##0\ _€_-;_-* &quot;-&quot;??\ _€_-;_-@"/>
  </numFmts>
  <fonts count="6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00FF"/>
      <name val="Arial"/>
      <family val="2"/>
    </font>
    <font>
      <b/>
      <sz val="8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14"/>
      <color rgb="FFFFFFFF"/>
      <name val="Arial"/>
      <family val="2"/>
    </font>
    <font>
      <b/>
      <i/>
      <sz val="9"/>
      <color theme="1"/>
      <name val="Arial"/>
      <family val="2"/>
    </font>
    <font>
      <b/>
      <i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 tint="0.34998626667073579"/>
      <name val="Arial"/>
      <family val="2"/>
    </font>
    <font>
      <b/>
      <sz val="18"/>
      <color rgb="FF000000"/>
      <name val="Arial"/>
      <family val="2"/>
      <scheme val="minor"/>
    </font>
    <font>
      <b/>
      <sz val="16"/>
      <color theme="9" tint="-0.499984740745262"/>
      <name val="Arial"/>
      <family val="2"/>
      <scheme val="minor"/>
    </font>
    <font>
      <b/>
      <sz val="9"/>
      <color rgb="FF808000"/>
      <name val="Arial"/>
      <family val="2"/>
    </font>
    <font>
      <b/>
      <sz val="8"/>
      <color rgb="FF808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0"/>
      <name val="Arial"/>
      <family val="2"/>
      <scheme val="minor"/>
    </font>
    <font>
      <b/>
      <sz val="8"/>
      <color rgb="FF0000FF"/>
      <name val="Arial"/>
      <family val="2"/>
    </font>
    <font>
      <sz val="10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8"/>
      <color rgb="FFFF0000"/>
      <name val="Arial"/>
      <family val="2"/>
    </font>
    <font>
      <sz val="6"/>
      <color theme="1"/>
      <name val="Arial"/>
      <family val="2"/>
    </font>
    <font>
      <b/>
      <sz val="11"/>
      <color rgb="FF000000"/>
      <name val="Arial"/>
      <family val="2"/>
      <scheme val="minor"/>
    </font>
    <font>
      <b/>
      <sz val="10"/>
      <color theme="9" tint="-0.499984740745262"/>
      <name val="Arial"/>
      <family val="2"/>
      <scheme val="minor"/>
    </font>
    <font>
      <sz val="8"/>
      <color rgb="FF000000"/>
      <name val="Arial"/>
      <family val="2"/>
      <scheme val="minor"/>
    </font>
    <font>
      <u/>
      <sz val="8"/>
      <color theme="10"/>
      <name val="Arial"/>
      <family val="2"/>
      <scheme val="minor"/>
    </font>
    <font>
      <u/>
      <sz val="10"/>
      <color theme="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0"/>
      <name val="Arial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  <scheme val="minor"/>
    </font>
    <font>
      <sz val="9"/>
      <color rgb="FF393939"/>
      <name val="Segoe U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0"/>
      <color theme="1" tint="0.34998626667073579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 tint="0.34998626667073579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  <scheme val="minor"/>
    </font>
    <font>
      <b/>
      <sz val="12"/>
      <color theme="1" tint="0.34998626667073579"/>
      <name val="Arial"/>
      <family val="2"/>
    </font>
    <font>
      <b/>
      <sz val="8"/>
      <color theme="9" tint="-0.499984740745262"/>
      <name val="Arial"/>
      <family val="2"/>
      <scheme val="minor"/>
    </font>
    <font>
      <sz val="10"/>
      <name val="Arial"/>
      <family val="2"/>
      <scheme val="minor"/>
    </font>
    <font>
      <sz val="16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theme="9" tint="0.79998168889431442"/>
        <bgColor rgb="FFFFCC99"/>
      </patternFill>
    </fill>
    <fill>
      <patternFill patternType="solid">
        <fgColor theme="0" tint="-0.14999847407452621"/>
        <bgColor rgb="FFFFCC99"/>
      </patternFill>
    </fill>
    <fill>
      <patternFill patternType="lightDown"/>
    </fill>
    <fill>
      <patternFill patternType="lightDown">
        <fgColor rgb="FFFFCC99"/>
        <bgColor theme="9" tint="0.79998168889431442"/>
      </patternFill>
    </fill>
    <fill>
      <patternFill patternType="lightDown">
        <fgColor rgb="FFFFCC99"/>
        <bgColor theme="0" tint="-0.14999847407452621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Down"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CC99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indexed="64"/>
      </top>
      <bottom style="dotted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thin">
        <color indexed="64"/>
      </left>
      <right style="dotted">
        <color rgb="FF000000"/>
      </right>
      <top style="dotted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thin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dotted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theme="1" tint="0.499984740745262"/>
      </bottom>
      <diagonal/>
    </border>
    <border>
      <left style="dotted">
        <color rgb="FF000000"/>
      </left>
      <right/>
      <top style="dotted">
        <color rgb="FF000000"/>
      </top>
      <bottom style="thin">
        <color theme="1" tint="0.499984740745262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 style="thin">
        <color theme="1" tint="0.499984740745262"/>
      </bottom>
      <diagonal/>
    </border>
    <border>
      <left style="thin">
        <color rgb="FF000000"/>
      </left>
      <right style="dotted">
        <color rgb="FF000000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rgb="FF000000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dotted">
        <color rgb="FF000000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dotted">
        <color rgb="FF000000"/>
      </right>
      <top style="thin">
        <color theme="1" tint="0.499984740745262"/>
      </top>
      <bottom style="dotted">
        <color rgb="FF000000"/>
      </bottom>
      <diagonal/>
    </border>
    <border>
      <left style="dotted">
        <color rgb="FF000000"/>
      </left>
      <right/>
      <top style="thin">
        <color theme="1" tint="0.499984740745262"/>
      </top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theme="1" tint="0.499984740745262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7" fillId="0" borderId="0" applyNumberFormat="0" applyFill="0" applyBorder="0" applyAlignment="0" applyProtection="0"/>
    <xf numFmtId="0" fontId="42" fillId="0" borderId="3"/>
    <xf numFmtId="0" fontId="27" fillId="0" borderId="3" applyNumberFormat="0" applyFill="0" applyBorder="0" applyAlignment="0" applyProtection="0"/>
    <xf numFmtId="0" fontId="42" fillId="0" borderId="3"/>
    <xf numFmtId="0" fontId="42" fillId="0" borderId="3"/>
    <xf numFmtId="0" fontId="42" fillId="0" borderId="3"/>
    <xf numFmtId="0" fontId="43" fillId="0" borderId="3"/>
    <xf numFmtId="0" fontId="51" fillId="0" borderId="3"/>
    <xf numFmtId="41" fontId="52" fillId="0" borderId="0" applyFont="0" applyFill="0" applyBorder="0" applyAlignment="0" applyProtection="0"/>
  </cellStyleXfs>
  <cellXfs count="329">
    <xf numFmtId="0" fontId="0" fillId="0" borderId="0" xfId="0"/>
    <xf numFmtId="0" fontId="2" fillId="0" borderId="0" xfId="0" applyFont="1"/>
    <xf numFmtId="164" fontId="1" fillId="0" borderId="0" xfId="0" applyNumberFormat="1" applyFont="1"/>
    <xf numFmtId="165" fontId="3" fillId="2" borderId="3" xfId="0" applyNumberFormat="1" applyFont="1" applyFill="1" applyBorder="1"/>
    <xf numFmtId="49" fontId="8" fillId="2" borderId="3" xfId="0" applyNumberFormat="1" applyFont="1" applyFill="1" applyBorder="1" applyAlignment="1">
      <alignment horizontal="right"/>
    </xf>
    <xf numFmtId="0" fontId="4" fillId="0" borderId="4" xfId="0" applyFont="1" applyBorder="1"/>
    <xf numFmtId="166" fontId="2" fillId="0" borderId="0" xfId="0" applyNumberFormat="1" applyFont="1"/>
    <xf numFmtId="0" fontId="5" fillId="0" borderId="2" xfId="0" applyFont="1" applyBorder="1" applyAlignment="1">
      <alignment horizontal="center" wrapText="1"/>
    </xf>
    <xf numFmtId="14" fontId="1" fillId="0" borderId="0" xfId="0" applyNumberFormat="1" applyFont="1"/>
    <xf numFmtId="14" fontId="0" fillId="0" borderId="0" xfId="0" applyNumberFormat="1"/>
    <xf numFmtId="0" fontId="14" fillId="0" borderId="0" xfId="0" applyFont="1" applyAlignment="1">
      <alignment horizontal="center" vertical="center"/>
    </xf>
    <xf numFmtId="165" fontId="15" fillId="2" borderId="3" xfId="0" applyNumberFormat="1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3" fontId="16" fillId="3" borderId="3" xfId="0" applyNumberFormat="1" applyFont="1" applyFill="1" applyBorder="1"/>
    <xf numFmtId="0" fontId="19" fillId="0" borderId="0" xfId="0" applyFont="1"/>
    <xf numFmtId="166" fontId="2" fillId="0" borderId="7" xfId="0" applyNumberFormat="1" applyFont="1" applyBorder="1"/>
    <xf numFmtId="49" fontId="15" fillId="0" borderId="10" xfId="0" applyNumberFormat="1" applyFont="1" applyBorder="1" applyAlignment="1">
      <alignment horizontal="center" vertical="center"/>
    </xf>
    <xf numFmtId="0" fontId="4" fillId="0" borderId="11" xfId="0" applyFont="1" applyBorder="1"/>
    <xf numFmtId="3" fontId="16" fillId="3" borderId="12" xfId="0" applyNumberFormat="1" applyFont="1" applyFill="1" applyBorder="1"/>
    <xf numFmtId="0" fontId="0" fillId="0" borderId="12" xfId="0" applyBorder="1"/>
    <xf numFmtId="0" fontId="18" fillId="0" borderId="12" xfId="0" applyFont="1" applyBorder="1"/>
    <xf numFmtId="3" fontId="7" fillId="4" borderId="13" xfId="0" applyNumberFormat="1" applyFont="1" applyFill="1" applyBorder="1"/>
    <xf numFmtId="14" fontId="9" fillId="0" borderId="14" xfId="0" applyNumberFormat="1" applyFont="1" applyBorder="1"/>
    <xf numFmtId="0" fontId="0" fillId="0" borderId="3" xfId="0" applyBorder="1"/>
    <xf numFmtId="0" fontId="18" fillId="0" borderId="3" xfId="0" applyFont="1" applyBorder="1"/>
    <xf numFmtId="0" fontId="7" fillId="4" borderId="15" xfId="0" applyFont="1" applyFill="1" applyBorder="1"/>
    <xf numFmtId="14" fontId="10" fillId="5" borderId="16" xfId="0" applyNumberFormat="1" applyFont="1" applyFill="1" applyBorder="1"/>
    <xf numFmtId="49" fontId="15" fillId="5" borderId="17" xfId="0" applyNumberFormat="1" applyFont="1" applyFill="1" applyBorder="1" applyAlignment="1">
      <alignment horizontal="center" vertical="center"/>
    </xf>
    <xf numFmtId="0" fontId="4" fillId="5" borderId="18" xfId="0" applyFont="1" applyFill="1" applyBorder="1"/>
    <xf numFmtId="3" fontId="16" fillId="6" borderId="19" xfId="0" applyNumberFormat="1" applyFont="1" applyFill="1" applyBorder="1"/>
    <xf numFmtId="0" fontId="0" fillId="5" borderId="19" xfId="0" applyFill="1" applyBorder="1"/>
    <xf numFmtId="0" fontId="18" fillId="5" borderId="19" xfId="0" applyFont="1" applyFill="1" applyBorder="1"/>
    <xf numFmtId="0" fontId="7" fillId="7" borderId="20" xfId="0" applyFont="1" applyFill="1" applyBorder="1"/>
    <xf numFmtId="166" fontId="17" fillId="0" borderId="6" xfId="0" applyNumberFormat="1" applyFont="1" applyBorder="1"/>
    <xf numFmtId="166" fontId="13" fillId="0" borderId="6" xfId="0" applyNumberFormat="1" applyFont="1" applyBorder="1" applyAlignment="1">
      <alignment horizontal="right"/>
    </xf>
    <xf numFmtId="0" fontId="0" fillId="0" borderId="21" xfId="0" applyBorder="1"/>
    <xf numFmtId="0" fontId="20" fillId="0" borderId="0" xfId="0" applyFont="1"/>
    <xf numFmtId="165" fontId="21" fillId="0" borderId="10" xfId="0" applyNumberFormat="1" applyFont="1" applyBorder="1" applyAlignment="1">
      <alignment horizontal="center"/>
    </xf>
    <xf numFmtId="165" fontId="21" fillId="0" borderId="5" xfId="0" applyNumberFormat="1" applyFont="1" applyBorder="1" applyAlignment="1">
      <alignment horizontal="center"/>
    </xf>
    <xf numFmtId="165" fontId="21" fillId="5" borderId="17" xfId="0" applyNumberFormat="1" applyFont="1" applyFill="1" applyBorder="1" applyAlignment="1">
      <alignment horizontal="center"/>
    </xf>
    <xf numFmtId="0" fontId="23" fillId="0" borderId="2" xfId="0" applyFont="1" applyBorder="1" applyAlignment="1">
      <alignment horizontal="center" wrapText="1"/>
    </xf>
    <xf numFmtId="166" fontId="24" fillId="0" borderId="5" xfId="0" applyNumberFormat="1" applyFont="1" applyBorder="1" applyAlignment="1">
      <alignment horizontal="center"/>
    </xf>
    <xf numFmtId="166" fontId="24" fillId="0" borderId="10" xfId="0" applyNumberFormat="1" applyFont="1" applyBorder="1" applyAlignment="1">
      <alignment horizontal="center"/>
    </xf>
    <xf numFmtId="166" fontId="24" fillId="5" borderId="17" xfId="0" applyNumberFormat="1" applyFont="1" applyFill="1" applyBorder="1" applyAlignment="1">
      <alignment horizontal="center"/>
    </xf>
    <xf numFmtId="166" fontId="2" fillId="0" borderId="21" xfId="0" applyNumberFormat="1" applyFont="1" applyBorder="1"/>
    <xf numFmtId="0" fontId="1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 wrapText="1"/>
    </xf>
    <xf numFmtId="14" fontId="25" fillId="2" borderId="3" xfId="0" applyNumberFormat="1" applyFont="1" applyFill="1" applyBorder="1"/>
    <xf numFmtId="0" fontId="23" fillId="0" borderId="22" xfId="0" applyFont="1" applyBorder="1" applyAlignment="1">
      <alignment horizontal="center" wrapText="1"/>
    </xf>
    <xf numFmtId="166" fontId="24" fillId="0" borderId="23" xfId="0" applyNumberFormat="1" applyFont="1" applyBorder="1" applyAlignment="1">
      <alignment horizontal="center"/>
    </xf>
    <xf numFmtId="166" fontId="24" fillId="0" borderId="24" xfId="0" applyNumberFormat="1" applyFont="1" applyBorder="1" applyAlignment="1">
      <alignment horizontal="center"/>
    </xf>
    <xf numFmtId="166" fontId="24" fillId="5" borderId="25" xfId="0" applyNumberFormat="1" applyFont="1" applyFill="1" applyBorder="1" applyAlignment="1">
      <alignment horizontal="center"/>
    </xf>
    <xf numFmtId="0" fontId="0" fillId="0" borderId="30" xfId="0" applyBorder="1"/>
    <xf numFmtId="0" fontId="6" fillId="0" borderId="3" xfId="0" applyFont="1" applyBorder="1"/>
    <xf numFmtId="49" fontId="8" fillId="2" borderId="30" xfId="0" applyNumberFormat="1" applyFont="1" applyFill="1" applyBorder="1" applyAlignment="1">
      <alignment horizontal="right"/>
    </xf>
    <xf numFmtId="49" fontId="8" fillId="2" borderId="15" xfId="0" applyNumberFormat="1" applyFont="1" applyFill="1" applyBorder="1" applyAlignment="1">
      <alignment horizontal="right"/>
    </xf>
    <xf numFmtId="3" fontId="2" fillId="0" borderId="31" xfId="0" applyNumberFormat="1" applyFont="1" applyBorder="1"/>
    <xf numFmtId="3" fontId="2" fillId="0" borderId="32" xfId="0" applyNumberFormat="1" applyFont="1" applyBorder="1"/>
    <xf numFmtId="3" fontId="2" fillId="5" borderId="33" xfId="0" applyNumberFormat="1" applyFont="1" applyFill="1" applyBorder="1"/>
    <xf numFmtId="166" fontId="2" fillId="0" borderId="34" xfId="0" applyNumberFormat="1" applyFont="1" applyBorder="1"/>
    <xf numFmtId="166" fontId="13" fillId="0" borderId="6" xfId="0" applyNumberFormat="1" applyFont="1" applyBorder="1" applyAlignment="1">
      <alignment horizontal="right" wrapText="1"/>
    </xf>
    <xf numFmtId="14" fontId="9" fillId="0" borderId="35" xfId="0" applyNumberFormat="1" applyFont="1" applyBorder="1"/>
    <xf numFmtId="165" fontId="21" fillId="0" borderId="36" xfId="0" applyNumberFormat="1" applyFont="1" applyBorder="1" applyAlignment="1">
      <alignment horizontal="center"/>
    </xf>
    <xf numFmtId="166" fontId="24" fillId="0" borderId="38" xfId="0" applyNumberFormat="1" applyFont="1" applyBorder="1" applyAlignment="1">
      <alignment horizontal="center"/>
    </xf>
    <xf numFmtId="3" fontId="2" fillId="0" borderId="39" xfId="0" applyNumberFormat="1" applyFont="1" applyBorder="1"/>
    <xf numFmtId="166" fontId="13" fillId="0" borderId="3" xfId="0" applyNumberFormat="1" applyFont="1" applyBorder="1" applyAlignment="1">
      <alignment horizontal="right"/>
    </xf>
    <xf numFmtId="166" fontId="17" fillId="0" borderId="3" xfId="0" applyNumberFormat="1" applyFont="1" applyBorder="1"/>
    <xf numFmtId="166" fontId="2" fillId="0" borderId="3" xfId="0" applyNumberFormat="1" applyFont="1" applyBorder="1"/>
    <xf numFmtId="166" fontId="26" fillId="0" borderId="6" xfId="0" applyNumberFormat="1" applyFont="1" applyBorder="1" applyAlignment="1">
      <alignment horizontal="right"/>
    </xf>
    <xf numFmtId="166" fontId="17" fillId="0" borderId="6" xfId="0" applyNumberFormat="1" applyFont="1" applyBorder="1" applyAlignment="1">
      <alignment vertical="center"/>
    </xf>
    <xf numFmtId="0" fontId="28" fillId="5" borderId="18" xfId="0" applyFont="1" applyFill="1" applyBorder="1"/>
    <xf numFmtId="14" fontId="29" fillId="8" borderId="0" xfId="0" applyNumberFormat="1" applyFont="1" applyFill="1"/>
    <xf numFmtId="14" fontId="30" fillId="8" borderId="0" xfId="0" applyNumberFormat="1" applyFont="1" applyFill="1" applyAlignment="1">
      <alignment horizontal="center" vertical="center"/>
    </xf>
    <xf numFmtId="14" fontId="30" fillId="8" borderId="3" xfId="0" applyNumberFormat="1" applyFont="1" applyFill="1" applyBorder="1" applyAlignment="1">
      <alignment horizontal="center" vertical="center"/>
    </xf>
    <xf numFmtId="0" fontId="29" fillId="8" borderId="12" xfId="0" applyFont="1" applyFill="1" applyBorder="1"/>
    <xf numFmtId="0" fontId="29" fillId="8" borderId="0" xfId="0" applyFont="1" applyFill="1"/>
    <xf numFmtId="166" fontId="33" fillId="9" borderId="0" xfId="0" applyNumberFormat="1" applyFont="1" applyFill="1"/>
    <xf numFmtId="0" fontId="29" fillId="9" borderId="0" xfId="0" applyFont="1" applyFill="1"/>
    <xf numFmtId="0" fontId="29" fillId="9" borderId="12" xfId="0" applyFont="1" applyFill="1" applyBorder="1"/>
    <xf numFmtId="0" fontId="23" fillId="0" borderId="2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34" fillId="4" borderId="29" xfId="0" applyFont="1" applyFill="1" applyBorder="1" applyAlignment="1">
      <alignment horizontal="center" vertical="center"/>
    </xf>
    <xf numFmtId="166" fontId="35" fillId="0" borderId="0" xfId="0" applyNumberFormat="1" applyFont="1"/>
    <xf numFmtId="0" fontId="36" fillId="0" borderId="0" xfId="0" applyFont="1"/>
    <xf numFmtId="0" fontId="37" fillId="0" borderId="19" xfId="0" applyFont="1" applyBorder="1"/>
    <xf numFmtId="0" fontId="0" fillId="0" borderId="19" xfId="0" applyBorder="1"/>
    <xf numFmtId="0" fontId="38" fillId="0" borderId="0" xfId="0" applyFont="1" applyAlignment="1">
      <alignment horizontal="center" vertical="center" wrapText="1"/>
    </xf>
    <xf numFmtId="0" fontId="39" fillId="10" borderId="0" xfId="1" applyFont="1" applyFill="1" applyAlignment="1">
      <alignment horizontal="center" vertical="center" wrapText="1"/>
    </xf>
    <xf numFmtId="0" fontId="40" fillId="8" borderId="0" xfId="1" applyFont="1" applyFill="1" applyAlignment="1">
      <alignment horizontal="center" vertical="center"/>
    </xf>
    <xf numFmtId="0" fontId="39" fillId="11" borderId="0" xfId="1" applyFont="1" applyFill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0" fontId="0" fillId="9" borderId="0" xfId="0" applyFill="1"/>
    <xf numFmtId="0" fontId="23" fillId="0" borderId="1" xfId="0" applyFont="1" applyBorder="1" applyAlignment="1">
      <alignment horizontal="center" vertical="center" wrapText="1"/>
    </xf>
    <xf numFmtId="165" fontId="21" fillId="5" borderId="17" xfId="0" applyNumberFormat="1" applyFont="1" applyFill="1" applyBorder="1" applyAlignment="1">
      <alignment horizontal="center" vertical="center"/>
    </xf>
    <xf numFmtId="166" fontId="24" fillId="5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6" fillId="0" borderId="6" xfId="0" applyNumberFormat="1" applyFont="1" applyBorder="1" applyAlignment="1">
      <alignment horizontal="center" vertical="center"/>
    </xf>
    <xf numFmtId="166" fontId="13" fillId="0" borderId="3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6" fontId="2" fillId="0" borderId="21" xfId="0" applyNumberFormat="1" applyFont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166" fontId="33" fillId="9" borderId="0" xfId="0" applyNumberFormat="1" applyFont="1" applyFill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6" fontId="13" fillId="0" borderId="6" xfId="0" applyNumberFormat="1" applyFont="1" applyBorder="1" applyAlignment="1">
      <alignment horizontal="center" vertical="center" wrapText="1"/>
    </xf>
    <xf numFmtId="0" fontId="27" fillId="10" borderId="0" xfId="1" applyFill="1" applyAlignment="1">
      <alignment horizontal="center" vertical="center" wrapText="1"/>
    </xf>
    <xf numFmtId="49" fontId="3" fillId="0" borderId="9" xfId="0" quotePrefix="1" applyNumberFormat="1" applyFont="1" applyBorder="1"/>
    <xf numFmtId="0" fontId="26" fillId="0" borderId="2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8" fillId="0" borderId="37" xfId="0" applyFont="1" applyBorder="1" applyAlignment="1">
      <alignment horizontal="center"/>
    </xf>
    <xf numFmtId="0" fontId="28" fillId="5" borderId="18" xfId="0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0" fillId="0" borderId="21" xfId="0" applyBorder="1" applyAlignment="1">
      <alignment horizontal="center"/>
    </xf>
    <xf numFmtId="0" fontId="29" fillId="9" borderId="0" xfId="0" applyFont="1" applyFill="1" applyAlignment="1">
      <alignment horizontal="center"/>
    </xf>
    <xf numFmtId="0" fontId="4" fillId="0" borderId="11" xfId="0" applyFont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14" fontId="9" fillId="0" borderId="14" xfId="0" applyNumberFormat="1" applyFont="1" applyBorder="1" applyAlignment="1">
      <alignment horizontal="center"/>
    </xf>
    <xf numFmtId="14" fontId="9" fillId="0" borderId="35" xfId="0" applyNumberFormat="1" applyFont="1" applyBorder="1" applyAlignment="1">
      <alignment horizontal="center"/>
    </xf>
    <xf numFmtId="14" fontId="10" fillId="5" borderId="16" xfId="0" applyNumberFormat="1" applyFont="1" applyFill="1" applyBorder="1" applyAlignment="1">
      <alignment horizontal="center"/>
    </xf>
    <xf numFmtId="166" fontId="35" fillId="0" borderId="0" xfId="0" applyNumberFormat="1" applyFont="1" applyAlignment="1">
      <alignment horizontal="center"/>
    </xf>
    <xf numFmtId="166" fontId="2" fillId="0" borderId="21" xfId="0" applyNumberFormat="1" applyFont="1" applyBorder="1" applyAlignment="1">
      <alignment horizontal="center"/>
    </xf>
    <xf numFmtId="14" fontId="26" fillId="0" borderId="0" xfId="0" applyNumberFormat="1" applyFont="1" applyAlignment="1">
      <alignment horizontal="center"/>
    </xf>
    <xf numFmtId="14" fontId="44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4" fontId="45" fillId="8" borderId="0" xfId="0" applyNumberFormat="1" applyFont="1" applyFill="1" applyAlignment="1">
      <alignment horizontal="center"/>
    </xf>
    <xf numFmtId="14" fontId="46" fillId="5" borderId="16" xfId="0" applyNumberFormat="1" applyFont="1" applyFill="1" applyBorder="1" applyAlignment="1">
      <alignment horizontal="center"/>
    </xf>
    <xf numFmtId="166" fontId="47" fillId="0" borderId="0" xfId="0" applyNumberFormat="1" applyFont="1" applyAlignment="1">
      <alignment horizontal="center"/>
    </xf>
    <xf numFmtId="166" fontId="47" fillId="0" borderId="21" xfId="0" applyNumberFormat="1" applyFont="1" applyBorder="1" applyAlignment="1">
      <alignment horizontal="center"/>
    </xf>
    <xf numFmtId="166" fontId="48" fillId="9" borderId="0" xfId="0" applyNumberFormat="1" applyFont="1" applyFill="1" applyAlignment="1">
      <alignment horizontal="center"/>
    </xf>
    <xf numFmtId="14" fontId="25" fillId="2" borderId="3" xfId="0" applyNumberFormat="1" applyFont="1" applyFill="1" applyBorder="1" applyAlignment="1">
      <alignment horizontal="left"/>
    </xf>
    <xf numFmtId="0" fontId="42" fillId="0" borderId="0" xfId="0" applyFont="1"/>
    <xf numFmtId="14" fontId="9" fillId="12" borderId="14" xfId="0" applyNumberFormat="1" applyFont="1" applyFill="1" applyBorder="1" applyAlignment="1">
      <alignment horizontal="center"/>
    </xf>
    <xf numFmtId="14" fontId="46" fillId="5" borderId="40" xfId="0" applyNumberFormat="1" applyFont="1" applyFill="1" applyBorder="1" applyAlignment="1">
      <alignment horizontal="center"/>
    </xf>
    <xf numFmtId="49" fontId="15" fillId="5" borderId="41" xfId="0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center" vertical="center"/>
    </xf>
    <xf numFmtId="165" fontId="21" fillId="5" borderId="41" xfId="0" applyNumberFormat="1" applyFont="1" applyFill="1" applyBorder="1" applyAlignment="1">
      <alignment horizontal="center" vertical="center"/>
    </xf>
    <xf numFmtId="166" fontId="24" fillId="5" borderId="43" xfId="0" applyNumberFormat="1" applyFont="1" applyFill="1" applyBorder="1" applyAlignment="1">
      <alignment horizontal="center" vertical="center"/>
    </xf>
    <xf numFmtId="3" fontId="2" fillId="5" borderId="44" xfId="0" applyNumberFormat="1" applyFont="1" applyFill="1" applyBorder="1"/>
    <xf numFmtId="0" fontId="28" fillId="12" borderId="37" xfId="0" applyFont="1" applyFill="1" applyBorder="1" applyAlignment="1">
      <alignment horizontal="center"/>
    </xf>
    <xf numFmtId="165" fontId="21" fillId="12" borderId="36" xfId="0" applyNumberFormat="1" applyFont="1" applyFill="1" applyBorder="1" applyAlignment="1">
      <alignment horizontal="center"/>
    </xf>
    <xf numFmtId="166" fontId="24" fillId="12" borderId="38" xfId="0" applyNumberFormat="1" applyFont="1" applyFill="1" applyBorder="1" applyAlignment="1">
      <alignment horizontal="center"/>
    </xf>
    <xf numFmtId="3" fontId="2" fillId="12" borderId="39" xfId="0" applyNumberFormat="1" applyFont="1" applyFill="1" applyBorder="1"/>
    <xf numFmtId="49" fontId="15" fillId="12" borderId="5" xfId="0" applyNumberFormat="1" applyFont="1" applyFill="1" applyBorder="1" applyAlignment="1">
      <alignment horizontal="center" vertical="center"/>
    </xf>
    <xf numFmtId="3" fontId="0" fillId="0" borderId="0" xfId="0" applyNumberFormat="1"/>
    <xf numFmtId="14" fontId="9" fillId="12" borderId="35" xfId="0" applyNumberFormat="1" applyFont="1" applyFill="1" applyBorder="1" applyAlignment="1">
      <alignment horizontal="center"/>
    </xf>
    <xf numFmtId="0" fontId="4" fillId="12" borderId="37" xfId="0" applyFont="1" applyFill="1" applyBorder="1" applyAlignment="1">
      <alignment horizontal="center"/>
    </xf>
    <xf numFmtId="166" fontId="24" fillId="12" borderId="5" xfId="0" applyNumberFormat="1" applyFont="1" applyFill="1" applyBorder="1" applyAlignment="1">
      <alignment horizontal="center" wrapText="1"/>
    </xf>
    <xf numFmtId="0" fontId="7" fillId="4" borderId="1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21" fillId="12" borderId="36" xfId="0" applyNumberFormat="1" applyFont="1" applyFill="1" applyBorder="1" applyAlignment="1">
      <alignment horizontal="center" wrapText="1"/>
    </xf>
    <xf numFmtId="14" fontId="46" fillId="0" borderId="14" xfId="0" applyNumberFormat="1" applyFont="1" applyBorder="1"/>
    <xf numFmtId="0" fontId="42" fillId="0" borderId="3" xfId="0" applyFont="1" applyBorder="1"/>
    <xf numFmtId="14" fontId="26" fillId="0" borderId="0" xfId="0" applyNumberFormat="1" applyFont="1"/>
    <xf numFmtId="14" fontId="44" fillId="0" borderId="0" xfId="0" applyNumberFormat="1" applyFont="1"/>
    <xf numFmtId="14" fontId="45" fillId="8" borderId="0" xfId="0" applyNumberFormat="1" applyFont="1" applyFill="1"/>
    <xf numFmtId="14" fontId="46" fillId="5" borderId="16" xfId="0" applyNumberFormat="1" applyFont="1" applyFill="1" applyBorder="1"/>
    <xf numFmtId="166" fontId="47" fillId="0" borderId="0" xfId="0" applyNumberFormat="1" applyFont="1"/>
    <xf numFmtId="166" fontId="47" fillId="0" borderId="21" xfId="0" applyNumberFormat="1" applyFont="1" applyBorder="1"/>
    <xf numFmtId="166" fontId="48" fillId="9" borderId="0" xfId="0" applyNumberFormat="1" applyFont="1" applyFill="1"/>
    <xf numFmtId="0" fontId="4" fillId="12" borderId="37" xfId="0" applyFont="1" applyFill="1" applyBorder="1" applyAlignment="1">
      <alignment horizontal="center" vertical="center"/>
    </xf>
    <xf numFmtId="0" fontId="0" fillId="12" borderId="0" xfId="0" applyFill="1"/>
    <xf numFmtId="14" fontId="25" fillId="2" borderId="19" xfId="0" applyNumberFormat="1" applyFont="1" applyFill="1" applyBorder="1"/>
    <xf numFmtId="14" fontId="25" fillId="2" borderId="20" xfId="0" applyNumberFormat="1" applyFont="1" applyFill="1" applyBorder="1"/>
    <xf numFmtId="14" fontId="46" fillId="12" borderId="14" xfId="0" applyNumberFormat="1" applyFont="1" applyFill="1" applyBorder="1"/>
    <xf numFmtId="14" fontId="9" fillId="12" borderId="14" xfId="0" applyNumberFormat="1" applyFont="1" applyFill="1" applyBorder="1"/>
    <xf numFmtId="3" fontId="2" fillId="12" borderId="31" xfId="0" applyNumberFormat="1" applyFont="1" applyFill="1" applyBorder="1"/>
    <xf numFmtId="49" fontId="1" fillId="0" borderId="9" xfId="0" quotePrefix="1" applyNumberFormat="1" applyFont="1" applyBorder="1"/>
    <xf numFmtId="0" fontId="0" fillId="12" borderId="3" xfId="0" applyFill="1" applyBorder="1"/>
    <xf numFmtId="3" fontId="16" fillId="3" borderId="3" xfId="0" applyNumberFormat="1" applyFont="1" applyFill="1" applyBorder="1" applyAlignment="1">
      <alignment horizontal="center" vertical="center"/>
    </xf>
    <xf numFmtId="14" fontId="9" fillId="0" borderId="35" xfId="0" applyNumberFormat="1" applyFont="1" applyBorder="1" applyAlignment="1">
      <alignment horizontal="center" vertical="center"/>
    </xf>
    <xf numFmtId="166" fontId="24" fillId="12" borderId="38" xfId="0" applyNumberFormat="1" applyFont="1" applyFill="1" applyBorder="1" applyAlignment="1">
      <alignment horizontal="center" wrapText="1"/>
    </xf>
    <xf numFmtId="14" fontId="29" fillId="8" borderId="0" xfId="0" applyNumberFormat="1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1" fillId="2" borderId="3" xfId="0" applyNumberFormat="1" applyFont="1" applyFill="1" applyBorder="1"/>
    <xf numFmtId="0" fontId="4" fillId="0" borderId="37" xfId="0" applyFont="1" applyBorder="1"/>
    <xf numFmtId="0" fontId="42" fillId="0" borderId="21" xfId="0" applyFont="1" applyBorder="1"/>
    <xf numFmtId="165" fontId="1" fillId="2" borderId="3" xfId="0" applyNumberFormat="1" applyFont="1" applyFill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right" wrapText="1"/>
    </xf>
    <xf numFmtId="0" fontId="31" fillId="8" borderId="8" xfId="0" applyFont="1" applyFill="1" applyBorder="1" applyAlignment="1">
      <alignment horizontal="center"/>
    </xf>
    <xf numFmtId="0" fontId="40" fillId="8" borderId="3" xfId="3" applyFont="1" applyFill="1" applyAlignment="1">
      <alignment horizontal="center" vertical="center"/>
    </xf>
    <xf numFmtId="0" fontId="38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14" fontId="53" fillId="8" borderId="0" xfId="0" applyNumberFormat="1" applyFont="1" applyFill="1"/>
    <xf numFmtId="0" fontId="5" fillId="0" borderId="1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3" fontId="2" fillId="13" borderId="31" xfId="0" applyNumberFormat="1" applyFont="1" applyFill="1" applyBorder="1"/>
    <xf numFmtId="41" fontId="54" fillId="0" borderId="12" xfId="9" applyFont="1" applyBorder="1"/>
    <xf numFmtId="0" fontId="38" fillId="0" borderId="46" xfId="0" applyFont="1" applyBorder="1"/>
    <xf numFmtId="165" fontId="55" fillId="0" borderId="47" xfId="0" applyNumberFormat="1" applyFont="1" applyBorder="1" applyAlignment="1">
      <alignment horizontal="left" wrapText="1"/>
    </xf>
    <xf numFmtId="166" fontId="24" fillId="0" borderId="48" xfId="0" applyNumberFormat="1" applyFont="1" applyBorder="1" applyAlignment="1">
      <alignment horizontal="center"/>
    </xf>
    <xf numFmtId="3" fontId="56" fillId="13" borderId="49" xfId="0" applyNumberFormat="1" applyFont="1" applyFill="1" applyBorder="1"/>
    <xf numFmtId="3" fontId="56" fillId="0" borderId="49" xfId="0" applyNumberFormat="1" applyFont="1" applyBorder="1" applyAlignment="1">
      <alignment horizontal="right"/>
    </xf>
    <xf numFmtId="3" fontId="57" fillId="3" borderId="3" xfId="0" applyNumberFormat="1" applyFont="1" applyFill="1" applyBorder="1"/>
    <xf numFmtId="0" fontId="44" fillId="0" borderId="3" xfId="0" applyFont="1" applyBorder="1"/>
    <xf numFmtId="41" fontId="58" fillId="0" borderId="3" xfId="9" applyFont="1" applyBorder="1"/>
    <xf numFmtId="0" fontId="59" fillId="4" borderId="15" xfId="0" applyFont="1" applyFill="1" applyBorder="1"/>
    <xf numFmtId="3" fontId="60" fillId="3" borderId="3" xfId="0" applyNumberFormat="1" applyFont="1" applyFill="1" applyBorder="1"/>
    <xf numFmtId="3" fontId="7" fillId="4" borderId="15" xfId="0" applyNumberFormat="1" applyFont="1" applyFill="1" applyBorder="1"/>
    <xf numFmtId="165" fontId="55" fillId="0" borderId="50" xfId="0" applyNumberFormat="1" applyFont="1" applyBorder="1" applyAlignment="1">
      <alignment horizontal="left"/>
    </xf>
    <xf numFmtId="166" fontId="24" fillId="0" borderId="51" xfId="0" applyNumberFormat="1" applyFont="1" applyBorder="1" applyAlignment="1">
      <alignment horizontal="center"/>
    </xf>
    <xf numFmtId="3" fontId="56" fillId="13" borderId="52" xfId="0" applyNumberFormat="1" applyFont="1" applyFill="1" applyBorder="1"/>
    <xf numFmtId="3" fontId="56" fillId="0" borderId="52" xfId="0" applyNumberFormat="1" applyFont="1" applyBorder="1" applyAlignment="1">
      <alignment horizontal="right"/>
    </xf>
    <xf numFmtId="165" fontId="55" fillId="0" borderId="50" xfId="0" applyNumberFormat="1" applyFont="1" applyBorder="1" applyAlignment="1">
      <alignment horizontal="left" vertical="center"/>
    </xf>
    <xf numFmtId="0" fontId="50" fillId="0" borderId="53" xfId="0" applyFont="1" applyBorder="1" applyAlignment="1">
      <alignment horizontal="center"/>
    </xf>
    <xf numFmtId="0" fontId="38" fillId="0" borderId="46" xfId="0" quotePrefix="1" applyFont="1" applyBorder="1"/>
    <xf numFmtId="165" fontId="55" fillId="0" borderId="54" xfId="0" applyNumberFormat="1" applyFont="1" applyBorder="1" applyAlignment="1">
      <alignment horizontal="left"/>
    </xf>
    <xf numFmtId="166" fontId="24" fillId="0" borderId="55" xfId="0" applyNumberFormat="1" applyFont="1" applyBorder="1" applyAlignment="1">
      <alignment horizontal="center"/>
    </xf>
    <xf numFmtId="3" fontId="56" fillId="13" borderId="56" xfId="0" applyNumberFormat="1" applyFont="1" applyFill="1" applyBorder="1"/>
    <xf numFmtId="3" fontId="56" fillId="0" borderId="56" xfId="0" applyNumberFormat="1" applyFont="1" applyBorder="1" applyAlignment="1">
      <alignment horizontal="center"/>
    </xf>
    <xf numFmtId="3" fontId="2" fillId="14" borderId="33" xfId="0" applyNumberFormat="1" applyFont="1" applyFill="1" applyBorder="1"/>
    <xf numFmtId="0" fontId="54" fillId="5" borderId="19" xfId="0" applyFont="1" applyFill="1" applyBorder="1"/>
    <xf numFmtId="3" fontId="2" fillId="5" borderId="57" xfId="0" applyNumberFormat="1" applyFont="1" applyFill="1" applyBorder="1"/>
    <xf numFmtId="166" fontId="1" fillId="0" borderId="6" xfId="0" applyNumberFormat="1" applyFont="1" applyBorder="1" applyAlignment="1">
      <alignment vertical="center"/>
    </xf>
    <xf numFmtId="0" fontId="54" fillId="0" borderId="12" xfId="0" applyFont="1" applyBorder="1"/>
    <xf numFmtId="3" fontId="56" fillId="0" borderId="49" xfId="0" applyNumberFormat="1" applyFont="1" applyBorder="1" applyAlignment="1">
      <alignment horizontal="center"/>
    </xf>
    <xf numFmtId="0" fontId="61" fillId="0" borderId="3" xfId="0" applyFont="1" applyBorder="1"/>
    <xf numFmtId="0" fontId="62" fillId="0" borderId="3" xfId="0" applyFont="1" applyBorder="1"/>
    <xf numFmtId="3" fontId="56" fillId="0" borderId="52" xfId="0" applyNumberFormat="1" applyFont="1" applyBorder="1"/>
    <xf numFmtId="3" fontId="56" fillId="0" borderId="56" xfId="0" applyNumberFormat="1" applyFont="1" applyBorder="1"/>
    <xf numFmtId="166" fontId="33" fillId="15" borderId="0" xfId="0" applyNumberFormat="1" applyFont="1" applyFill="1"/>
    <xf numFmtId="0" fontId="29" fillId="15" borderId="12" xfId="0" applyFont="1" applyFill="1" applyBorder="1"/>
    <xf numFmtId="0" fontId="29" fillId="15" borderId="0" xfId="0" applyFont="1" applyFill="1"/>
    <xf numFmtId="166" fontId="32" fillId="9" borderId="0" xfId="0" applyNumberFormat="1" applyFont="1" applyFill="1"/>
    <xf numFmtId="166" fontId="26" fillId="0" borderId="6" xfId="0" applyNumberFormat="1" applyFont="1" applyBorder="1" applyAlignment="1">
      <alignment horizontal="right" vertical="center"/>
    </xf>
    <xf numFmtId="166" fontId="60" fillId="15" borderId="0" xfId="0" applyNumberFormat="1" applyFont="1" applyFill="1"/>
    <xf numFmtId="0" fontId="4" fillId="0" borderId="4" xfId="0" applyFont="1" applyBorder="1" applyAlignment="1">
      <alignment horizontal="center"/>
    </xf>
    <xf numFmtId="165" fontId="21" fillId="0" borderId="5" xfId="0" applyNumberFormat="1" applyFont="1" applyBorder="1" applyAlignment="1">
      <alignment horizontal="center" wrapText="1"/>
    </xf>
    <xf numFmtId="166" fontId="24" fillId="0" borderId="5" xfId="0" applyNumberFormat="1" applyFont="1" applyBorder="1" applyAlignment="1">
      <alignment horizontal="center" wrapText="1"/>
    </xf>
    <xf numFmtId="0" fontId="4" fillId="0" borderId="37" xfId="0" applyFont="1" applyBorder="1" applyAlignment="1">
      <alignment horizontal="center"/>
    </xf>
    <xf numFmtId="166" fontId="24" fillId="0" borderId="38" xfId="0" applyNumberFormat="1" applyFont="1" applyBorder="1" applyAlignment="1">
      <alignment horizontal="center" wrapText="1"/>
    </xf>
    <xf numFmtId="165" fontId="21" fillId="0" borderId="36" xfId="0" applyNumberFormat="1" applyFont="1" applyBorder="1" applyAlignment="1">
      <alignment horizontal="center" wrapText="1"/>
    </xf>
    <xf numFmtId="3" fontId="56" fillId="0" borderId="56" xfId="0" applyNumberFormat="1" applyFont="1" applyBorder="1" applyAlignment="1">
      <alignment horizontal="right"/>
    </xf>
    <xf numFmtId="0" fontId="28" fillId="0" borderId="11" xfId="0" applyFont="1" applyBorder="1" applyAlignment="1">
      <alignment horizontal="center" vertical="center"/>
    </xf>
    <xf numFmtId="165" fontId="21" fillId="0" borderId="10" xfId="0" applyNumberFormat="1" applyFont="1" applyBorder="1" applyAlignment="1">
      <alignment horizontal="center" vertical="center"/>
    </xf>
    <xf numFmtId="166" fontId="24" fillId="0" borderId="23" xfId="0" applyNumberFormat="1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5" fontId="21" fillId="0" borderId="36" xfId="0" applyNumberFormat="1" applyFont="1" applyBorder="1" applyAlignment="1">
      <alignment horizontal="center" vertical="center"/>
    </xf>
    <xf numFmtId="166" fontId="24" fillId="0" borderId="36" xfId="0" applyNumberFormat="1" applyFont="1" applyBorder="1" applyAlignment="1">
      <alignment horizontal="center" wrapText="1"/>
    </xf>
    <xf numFmtId="166" fontId="24" fillId="0" borderId="10" xfId="0" applyNumberFormat="1" applyFont="1" applyBorder="1" applyAlignment="1">
      <alignment horizontal="center" vertical="center"/>
    </xf>
    <xf numFmtId="0" fontId="4" fillId="0" borderId="37" xfId="0" quotePrefix="1" applyFont="1" applyBorder="1" applyAlignment="1">
      <alignment horizontal="center"/>
    </xf>
    <xf numFmtId="0" fontId="50" fillId="0" borderId="0" xfId="0" applyFont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11" xfId="0" applyFont="1" applyBorder="1"/>
    <xf numFmtId="0" fontId="28" fillId="0" borderId="37" xfId="0" applyFont="1" applyBorder="1"/>
    <xf numFmtId="0" fontId="4" fillId="0" borderId="4" xfId="0" quotePrefix="1" applyFont="1" applyBorder="1" applyAlignment="1">
      <alignment horizontal="center"/>
    </xf>
    <xf numFmtId="14" fontId="9" fillId="12" borderId="35" xfId="0" applyNumberFormat="1" applyFont="1" applyFill="1" applyBorder="1"/>
    <xf numFmtId="165" fontId="21" fillId="0" borderId="36" xfId="6" applyNumberFormat="1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right"/>
    </xf>
    <xf numFmtId="0" fontId="0" fillId="8" borderId="0" xfId="0" applyFill="1"/>
    <xf numFmtId="166" fontId="2" fillId="8" borderId="0" xfId="0" applyNumberFormat="1" applyFont="1" applyFill="1"/>
    <xf numFmtId="166" fontId="2" fillId="9" borderId="0" xfId="0" applyNumberFormat="1" applyFont="1" applyFill="1"/>
    <xf numFmtId="166" fontId="2" fillId="15" borderId="0" xfId="0" applyNumberFormat="1" applyFont="1" applyFill="1"/>
    <xf numFmtId="0" fontId="0" fillId="15" borderId="0" xfId="0" applyFill="1"/>
    <xf numFmtId="0" fontId="0" fillId="8" borderId="3" xfId="0" applyFill="1" applyBorder="1"/>
    <xf numFmtId="0" fontId="63" fillId="0" borderId="0" xfId="0" applyFont="1"/>
    <xf numFmtId="14" fontId="14" fillId="15" borderId="0" xfId="0" applyNumberFormat="1" applyFont="1" applyFill="1" applyAlignment="1">
      <alignment horizontal="center" vertical="center"/>
    </xf>
    <xf numFmtId="14" fontId="14" fillId="15" borderId="3" xfId="0" applyNumberFormat="1" applyFont="1" applyFill="1" applyBorder="1" applyAlignment="1">
      <alignment horizontal="center" vertical="center"/>
    </xf>
    <xf numFmtId="0" fontId="64" fillId="15" borderId="12" xfId="0" applyFont="1" applyFill="1" applyBorder="1"/>
    <xf numFmtId="0" fontId="64" fillId="15" borderId="0" xfId="0" applyFont="1" applyFill="1"/>
    <xf numFmtId="49" fontId="15" fillId="12" borderId="36" xfId="0" applyNumberFormat="1" applyFont="1" applyFill="1" applyBorder="1" applyAlignment="1">
      <alignment horizontal="center" vertical="center"/>
    </xf>
    <xf numFmtId="166" fontId="24" fillId="12" borderId="36" xfId="0" applyNumberFormat="1" applyFont="1" applyFill="1" applyBorder="1" applyAlignment="1">
      <alignment horizontal="center"/>
    </xf>
    <xf numFmtId="14" fontId="9" fillId="0" borderId="35" xfId="0" applyNumberFormat="1" applyFont="1" applyBorder="1" applyAlignment="1">
      <alignment vertical="center"/>
    </xf>
    <xf numFmtId="0" fontId="18" fillId="0" borderId="60" xfId="0" applyFont="1" applyBorder="1" applyAlignment="1">
      <alignment horizontal="center"/>
    </xf>
    <xf numFmtId="0" fontId="18" fillId="0" borderId="59" xfId="0" applyFont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3" fontId="18" fillId="0" borderId="3" xfId="0" applyNumberFormat="1" applyFont="1" applyBorder="1" applyAlignment="1">
      <alignment horizontal="center"/>
    </xf>
    <xf numFmtId="3" fontId="18" fillId="5" borderId="19" xfId="0" applyNumberFormat="1" applyFont="1" applyFill="1" applyBorder="1" applyAlignment="1">
      <alignment horizontal="center"/>
    </xf>
    <xf numFmtId="3" fontId="18" fillId="0" borderId="60" xfId="0" applyNumberFormat="1" applyFont="1" applyBorder="1" applyAlignment="1">
      <alignment horizontal="center"/>
    </xf>
    <xf numFmtId="3" fontId="18" fillId="5" borderId="61" xfId="0" applyNumberFormat="1" applyFont="1" applyFill="1" applyBorder="1"/>
    <xf numFmtId="3" fontId="18" fillId="0" borderId="59" xfId="0" applyNumberFormat="1" applyFont="1" applyBorder="1" applyAlignment="1">
      <alignment horizontal="center"/>
    </xf>
    <xf numFmtId="3" fontId="18" fillId="5" borderId="61" xfId="0" applyNumberFormat="1" applyFont="1" applyFill="1" applyBorder="1" applyAlignment="1">
      <alignment horizontal="center"/>
    </xf>
    <xf numFmtId="0" fontId="18" fillId="5" borderId="61" xfId="0" applyFont="1" applyFill="1" applyBorder="1" applyAlignment="1">
      <alignment horizontal="center"/>
    </xf>
    <xf numFmtId="0" fontId="65" fillId="0" borderId="0" xfId="0" applyFont="1"/>
    <xf numFmtId="49" fontId="15" fillId="16" borderId="5" xfId="0" applyNumberFormat="1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/>
    </xf>
    <xf numFmtId="165" fontId="21" fillId="16" borderId="5" xfId="0" applyNumberFormat="1" applyFont="1" applyFill="1" applyBorder="1" applyAlignment="1">
      <alignment horizontal="center" wrapText="1"/>
    </xf>
    <xf numFmtId="166" fontId="24" fillId="16" borderId="5" xfId="0" applyNumberFormat="1" applyFont="1" applyFill="1" applyBorder="1" applyAlignment="1">
      <alignment horizontal="center" wrapText="1"/>
    </xf>
    <xf numFmtId="3" fontId="2" fillId="16" borderId="32" xfId="6" applyNumberFormat="1" applyFont="1" applyFill="1" applyBorder="1"/>
    <xf numFmtId="3" fontId="2" fillId="16" borderId="39" xfId="0" applyNumberFormat="1" applyFont="1" applyFill="1" applyBorder="1"/>
    <xf numFmtId="3" fontId="2" fillId="16" borderId="32" xfId="0" applyNumberFormat="1" applyFont="1" applyFill="1" applyBorder="1"/>
    <xf numFmtId="3" fontId="18" fillId="0" borderId="3" xfId="0" applyNumberFormat="1" applyFont="1" applyBorder="1"/>
    <xf numFmtId="3" fontId="16" fillId="17" borderId="3" xfId="0" applyNumberFormat="1" applyFont="1" applyFill="1" applyBorder="1"/>
    <xf numFmtId="0" fontId="2" fillId="0" borderId="0" xfId="0" applyFont="1" applyAlignment="1">
      <alignment horizontal="right"/>
    </xf>
    <xf numFmtId="0" fontId="31" fillId="15" borderId="7" xfId="0" applyFont="1" applyFill="1" applyBorder="1" applyAlignment="1">
      <alignment horizontal="center"/>
    </xf>
    <xf numFmtId="0" fontId="31" fillId="15" borderId="8" xfId="0" applyFont="1" applyFill="1" applyBorder="1" applyAlignment="1">
      <alignment horizontal="center"/>
    </xf>
    <xf numFmtId="0" fontId="32" fillId="15" borderId="26" xfId="0" applyFont="1" applyFill="1" applyBorder="1" applyAlignment="1">
      <alignment horizontal="center"/>
    </xf>
    <xf numFmtId="0" fontId="32" fillId="15" borderId="27" xfId="0" applyFont="1" applyFill="1" applyBorder="1" applyAlignment="1">
      <alignment horizontal="center"/>
    </xf>
    <xf numFmtId="0" fontId="31" fillId="15" borderId="45" xfId="0" applyFont="1" applyFill="1" applyBorder="1" applyAlignment="1">
      <alignment horizontal="center"/>
    </xf>
    <xf numFmtId="0" fontId="31" fillId="15" borderId="27" xfId="0" applyFont="1" applyFill="1" applyBorder="1" applyAlignment="1">
      <alignment horizontal="center"/>
    </xf>
    <xf numFmtId="0" fontId="31" fillId="8" borderId="7" xfId="0" applyFont="1" applyFill="1" applyBorder="1" applyAlignment="1">
      <alignment horizontal="center"/>
    </xf>
    <xf numFmtId="0" fontId="31" fillId="8" borderId="8" xfId="0" applyFont="1" applyFill="1" applyBorder="1" applyAlignment="1">
      <alignment horizontal="center"/>
    </xf>
    <xf numFmtId="0" fontId="32" fillId="8" borderId="26" xfId="0" applyFont="1" applyFill="1" applyBorder="1" applyAlignment="1">
      <alignment horizontal="center"/>
    </xf>
    <xf numFmtId="0" fontId="33" fillId="8" borderId="27" xfId="0" applyFont="1" applyFill="1" applyBorder="1"/>
    <xf numFmtId="0" fontId="31" fillId="9" borderId="7" xfId="0" applyFont="1" applyFill="1" applyBorder="1" applyAlignment="1">
      <alignment horizontal="center"/>
    </xf>
    <xf numFmtId="0" fontId="31" fillId="9" borderId="8" xfId="0" applyFont="1" applyFill="1" applyBorder="1" applyAlignment="1">
      <alignment horizontal="center"/>
    </xf>
    <xf numFmtId="0" fontId="32" fillId="9" borderId="26" xfId="0" applyFont="1" applyFill="1" applyBorder="1" applyAlignment="1">
      <alignment horizontal="center"/>
    </xf>
    <xf numFmtId="0" fontId="33" fillId="9" borderId="27" xfId="0" applyFont="1" applyFill="1" applyBorder="1"/>
    <xf numFmtId="0" fontId="32" fillId="9" borderId="27" xfId="0" applyFont="1" applyFill="1" applyBorder="1" applyAlignment="1">
      <alignment horizontal="center"/>
    </xf>
    <xf numFmtId="0" fontId="31" fillId="9" borderId="45" xfId="0" applyFont="1" applyFill="1" applyBorder="1" applyAlignment="1">
      <alignment horizontal="center"/>
    </xf>
    <xf numFmtId="0" fontId="31" fillId="9" borderId="27" xfId="0" applyFont="1" applyFill="1" applyBorder="1" applyAlignment="1">
      <alignment horizontal="center"/>
    </xf>
    <xf numFmtId="0" fontId="33" fillId="15" borderId="27" xfId="0" applyFont="1" applyFill="1" applyBorder="1"/>
    <xf numFmtId="0" fontId="31" fillId="15" borderId="34" xfId="0" applyFont="1" applyFill="1" applyBorder="1" applyAlignment="1">
      <alignment horizontal="center"/>
    </xf>
    <xf numFmtId="0" fontId="31" fillId="8" borderId="34" xfId="0" applyFont="1" applyFill="1" applyBorder="1" applyAlignment="1">
      <alignment horizontal="center"/>
    </xf>
    <xf numFmtId="0" fontId="31" fillId="9" borderId="58" xfId="0" applyFont="1" applyFill="1" applyBorder="1" applyAlignment="1">
      <alignment horizontal="center"/>
    </xf>
    <xf numFmtId="0" fontId="60" fillId="15" borderId="26" xfId="0" applyFont="1" applyFill="1" applyBorder="1" applyAlignment="1">
      <alignment horizontal="center"/>
    </xf>
    <xf numFmtId="0" fontId="60" fillId="15" borderId="27" xfId="0" applyFont="1" applyFill="1" applyBorder="1" applyAlignment="1">
      <alignment horizontal="center"/>
    </xf>
    <xf numFmtId="0" fontId="16" fillId="15" borderId="45" xfId="0" applyFont="1" applyFill="1" applyBorder="1" applyAlignment="1">
      <alignment horizontal="center"/>
    </xf>
    <xf numFmtId="0" fontId="16" fillId="15" borderId="27" xfId="0" applyFont="1" applyFill="1" applyBorder="1" applyAlignment="1">
      <alignment horizontal="center"/>
    </xf>
    <xf numFmtId="0" fontId="16" fillId="15" borderId="7" xfId="0" applyFont="1" applyFill="1" applyBorder="1" applyAlignment="1">
      <alignment horizontal="center"/>
    </xf>
    <xf numFmtId="0" fontId="16" fillId="15" borderId="8" xfId="0" applyFont="1" applyFill="1" applyBorder="1" applyAlignment="1">
      <alignment horizontal="center"/>
    </xf>
  </cellXfs>
  <cellStyles count="10">
    <cellStyle name="Lien hypertexte" xfId="1" builtinId="8"/>
    <cellStyle name="Lien hypertexte 2" xfId="3"/>
    <cellStyle name="Milliers [0]" xfId="9" builtinId="6"/>
    <cellStyle name="Normal" xfId="0" builtinId="0"/>
    <cellStyle name="Normal 2" xfId="2"/>
    <cellStyle name="Normal 3" xfId="4"/>
    <cellStyle name="Normal 4" xfId="5"/>
    <cellStyle name="Normal 5" xfId="6"/>
    <cellStyle name="Normal 6" xfId="7"/>
    <cellStyle name="Normal 7" xfId="8"/>
  </cellStyles>
  <dxfs count="4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theme="9" tint="-0.249977111117893"/>
  </sheetPr>
  <dimension ref="A4:H14"/>
  <sheetViews>
    <sheetView showGridLines="0" workbookViewId="0"/>
  </sheetViews>
  <sheetFormatPr baseColWidth="10" defaultRowHeight="13.2" x14ac:dyDescent="0.25"/>
  <sheetData>
    <row r="4" spans="1:8" ht="13.8" x14ac:dyDescent="0.25">
      <c r="A4" s="86" t="s">
        <v>6</v>
      </c>
    </row>
    <row r="5" spans="1:8" s="94" customFormat="1" ht="2.1" customHeight="1" x14ac:dyDescent="0.25"/>
    <row r="7" spans="1:8" x14ac:dyDescent="0.25">
      <c r="A7" s="87" t="s">
        <v>34</v>
      </c>
      <c r="B7" s="88"/>
      <c r="C7" s="88"/>
      <c r="D7" s="88"/>
      <c r="E7" s="88"/>
      <c r="F7" s="88"/>
      <c r="G7" s="88"/>
      <c r="H7" s="88"/>
    </row>
    <row r="8" spans="1:8" ht="4.3499999999999996" customHeight="1" x14ac:dyDescent="0.25"/>
    <row r="9" spans="1:8" ht="26.4" x14ac:dyDescent="0.25">
      <c r="A9" s="90" t="s">
        <v>35</v>
      </c>
      <c r="B9" s="89"/>
      <c r="C9" s="90" t="s">
        <v>37</v>
      </c>
      <c r="D9" s="89"/>
      <c r="E9" s="111" t="s">
        <v>44</v>
      </c>
      <c r="F9" s="89"/>
      <c r="G9" s="89"/>
      <c r="H9" s="89"/>
    </row>
    <row r="12" spans="1:8" x14ac:dyDescent="0.25">
      <c r="A12" s="87" t="s">
        <v>38</v>
      </c>
      <c r="B12" s="88"/>
      <c r="C12" s="88"/>
      <c r="D12" s="88"/>
      <c r="E12" s="88"/>
      <c r="F12" s="88"/>
      <c r="G12" s="88"/>
      <c r="H12" s="88"/>
    </row>
    <row r="13" spans="1:8" ht="4.3499999999999996" customHeight="1" x14ac:dyDescent="0.25"/>
    <row r="14" spans="1:8" ht="23.85" customHeight="1" x14ac:dyDescent="0.25">
      <c r="A14" s="92" t="s">
        <v>39</v>
      </c>
      <c r="C14" s="92" t="s">
        <v>40</v>
      </c>
      <c r="E14" s="92" t="s">
        <v>41</v>
      </c>
    </row>
  </sheetData>
  <hyperlinks>
    <hyperlink ref="A9" location="'Btles HS _ DV'!A1" tooltip="Bouteille HS" display="Bouteille HS"/>
    <hyperlink ref="C9" location="'Btles Neuve _ DV'!A1" tooltip="Bouteille Neuve" display="Bouteille Neuve"/>
    <hyperlink ref="E9" location="'STOCK OUTILS _CE '!A1" tooltip="Bouteille requalifiée" display="STOCK OUTILS_CE "/>
    <hyperlink ref="A14" location="'Consigne _ CE'!A1" tooltip="Bouteille Consigne" display="Bouteille Consigne"/>
    <hyperlink ref="C14" location="'Réépreuve _ CE'!A1" tooltip="Bouteille Réépreuve" display="Bouteille Réépreuve"/>
    <hyperlink ref="E14" location="'Peinture _ CE'!A1" tooltip="Bouteille Peinture" display="Bouteille Peintu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theme="0" tint="-0.34998626667073579"/>
    <pageSetUpPr fitToPage="1"/>
  </sheetPr>
  <dimension ref="A1:T350"/>
  <sheetViews>
    <sheetView zoomScale="115" zoomScaleNormal="115" workbookViewId="0">
      <pane ySplit="3" topLeftCell="A70" activePane="bottomLeft" state="frozen"/>
      <selection activeCell="F6" sqref="F6"/>
      <selection pane="bottomLeft" activeCell="Q36" sqref="Q36"/>
    </sheetView>
  </sheetViews>
  <sheetFormatPr baseColWidth="10" defaultColWidth="12.5546875" defaultRowHeight="15" customHeight="1" outlineLevelRow="1" x14ac:dyDescent="0.25"/>
  <cols>
    <col min="1" max="1" width="2.109375" customWidth="1"/>
    <col min="2" max="2" width="16" style="9" customWidth="1"/>
    <col min="3" max="3" width="8.88671875" style="10" customWidth="1"/>
    <col min="4" max="4" width="11.44140625" customWidth="1"/>
    <col min="5" max="5" width="23.5546875" bestFit="1" customWidth="1"/>
    <col min="6" max="6" width="18.33203125" customWidth="1"/>
    <col min="7" max="7" width="13.88671875" customWidth="1"/>
    <col min="8" max="8" width="11.5546875" customWidth="1"/>
    <col min="9" max="9" width="0.109375" customWidth="1"/>
    <col min="10" max="10" width="9.5546875" customWidth="1"/>
    <col min="11" max="11" width="9.6640625" customWidth="1"/>
    <col min="12" max="12" width="1.109375" customWidth="1"/>
    <col min="13" max="13" width="3.5546875" customWidth="1"/>
    <col min="14" max="14" width="9.5546875" customWidth="1"/>
    <col min="15" max="15" width="11.5546875" customWidth="1"/>
    <col min="16" max="16" width="0.88671875" customWidth="1"/>
    <col min="17" max="17" width="9.88671875" customWidth="1"/>
    <col min="18" max="18" width="9.6640625" customWidth="1"/>
    <col min="19" max="19" width="0.44140625" customWidth="1"/>
    <col min="20" max="20" width="12.6640625" customWidth="1"/>
    <col min="21" max="27" width="10" customWidth="1"/>
  </cols>
  <sheetData>
    <row r="1" spans="2:20" ht="12.75" customHeight="1" x14ac:dyDescent="0.25">
      <c r="B1" s="8" t="s">
        <v>22</v>
      </c>
      <c r="K1" s="301" t="s">
        <v>83</v>
      </c>
      <c r="R1" s="91" t="s">
        <v>36</v>
      </c>
      <c r="T1" s="9"/>
    </row>
    <row r="2" spans="2:20" ht="12.75" customHeight="1" x14ac:dyDescent="0.25"/>
    <row r="3" spans="2:20" ht="23.25" customHeight="1" x14ac:dyDescent="0.4">
      <c r="B3" s="14" t="s">
        <v>6</v>
      </c>
      <c r="G3" s="36" t="s">
        <v>23</v>
      </c>
      <c r="J3" s="1"/>
      <c r="K3" s="1"/>
      <c r="N3" s="36"/>
      <c r="Q3" s="195" t="s">
        <v>53</v>
      </c>
      <c r="R3" s="291" t="str">
        <f ca="1">TEXT(TODAY(),"mmmm")</f>
        <v>janvier</v>
      </c>
    </row>
    <row r="4" spans="2:20" ht="12.75" customHeight="1" x14ac:dyDescent="0.25">
      <c r="J4" s="1"/>
      <c r="K4" s="2"/>
      <c r="Q4" s="1"/>
      <c r="R4" s="2"/>
    </row>
    <row r="5" spans="2:20" ht="15.75" customHeight="1" x14ac:dyDescent="0.3">
      <c r="B5" s="73"/>
      <c r="C5" s="74"/>
      <c r="D5" s="74"/>
      <c r="E5" s="74"/>
      <c r="F5" s="75"/>
      <c r="G5" s="308" t="s">
        <v>16</v>
      </c>
      <c r="H5" s="309"/>
      <c r="I5" s="76"/>
      <c r="J5" s="310" t="s">
        <v>0</v>
      </c>
      <c r="K5" s="311"/>
      <c r="L5" s="77"/>
      <c r="M5" s="77"/>
      <c r="N5" s="308" t="s">
        <v>17</v>
      </c>
      <c r="O5" s="309"/>
      <c r="P5" s="76"/>
      <c r="Q5" s="310" t="s">
        <v>0</v>
      </c>
      <c r="R5" s="311"/>
      <c r="S5" s="267"/>
    </row>
    <row r="6" spans="2:20" ht="22.5" customHeight="1" x14ac:dyDescent="0.25">
      <c r="B6" s="46" t="s">
        <v>1</v>
      </c>
      <c r="C6" s="7" t="s">
        <v>7</v>
      </c>
      <c r="D6" s="47" t="s">
        <v>5</v>
      </c>
      <c r="E6" s="48" t="s">
        <v>14</v>
      </c>
      <c r="F6" s="93" t="s">
        <v>42</v>
      </c>
      <c r="G6" s="82" t="s">
        <v>2</v>
      </c>
      <c r="H6" s="50" t="s">
        <v>13</v>
      </c>
      <c r="I6" s="23"/>
      <c r="J6" s="81" t="s">
        <v>0</v>
      </c>
      <c r="K6" s="84" t="s">
        <v>3</v>
      </c>
      <c r="N6" s="83" t="s">
        <v>2</v>
      </c>
      <c r="O6" s="40" t="s">
        <v>13</v>
      </c>
      <c r="P6" s="23"/>
      <c r="Q6" s="81" t="s">
        <v>0</v>
      </c>
      <c r="R6" s="84" t="s">
        <v>3</v>
      </c>
      <c r="S6" s="267"/>
    </row>
    <row r="7" spans="2:20" ht="4.5" customHeight="1" x14ac:dyDescent="0.25">
      <c r="F7" s="23"/>
      <c r="G7" s="54"/>
      <c r="H7" s="23"/>
      <c r="I7" s="23"/>
      <c r="J7" s="55"/>
      <c r="K7" s="25"/>
      <c r="N7" s="54"/>
      <c r="O7" s="23"/>
      <c r="P7" s="23"/>
      <c r="Q7" s="55"/>
      <c r="R7" s="25"/>
      <c r="S7" s="267"/>
    </row>
    <row r="8" spans="2:20" ht="17.100000000000001" customHeight="1" x14ac:dyDescent="0.3">
      <c r="B8" s="49" t="s">
        <v>29</v>
      </c>
      <c r="C8" s="11"/>
      <c r="D8" s="3"/>
      <c r="E8" s="3"/>
      <c r="F8" s="3"/>
      <c r="G8" s="56"/>
      <c r="H8" s="4"/>
      <c r="I8" s="23"/>
      <c r="J8" s="4"/>
      <c r="K8" s="57"/>
      <c r="N8" s="56"/>
      <c r="O8" s="4"/>
      <c r="P8" s="23"/>
      <c r="Q8" s="4"/>
      <c r="R8" s="57"/>
      <c r="S8" s="267"/>
    </row>
    <row r="9" spans="2:20" ht="12.75" customHeight="1" outlineLevel="1" x14ac:dyDescent="0.25">
      <c r="B9" s="179" t="s">
        <v>82</v>
      </c>
      <c r="C9" s="16"/>
      <c r="D9" s="260"/>
      <c r="E9" s="37"/>
      <c r="F9" s="51"/>
      <c r="G9" s="58"/>
      <c r="H9" s="18"/>
      <c r="I9" s="19">
        <v>6145</v>
      </c>
      <c r="J9" s="24"/>
      <c r="K9" s="21" t="str">
        <f>IF(J9="","",J9-H9)</f>
        <v/>
      </c>
      <c r="N9" s="58"/>
      <c r="O9" s="18"/>
      <c r="P9" s="19"/>
      <c r="Q9" s="20"/>
      <c r="R9" s="21" t="str">
        <f>IF(Q9="","",Q9-O9)</f>
        <v/>
      </c>
      <c r="S9" s="267"/>
    </row>
    <row r="10" spans="2:20" ht="12.75" customHeight="1" outlineLevel="1" x14ac:dyDescent="0.25">
      <c r="B10" s="177">
        <v>46024</v>
      </c>
      <c r="C10" s="292" t="s">
        <v>8</v>
      </c>
      <c r="D10" s="293"/>
      <c r="E10" s="294" t="s">
        <v>46</v>
      </c>
      <c r="F10" s="295"/>
      <c r="G10" s="296"/>
      <c r="H10" s="13">
        <v>0</v>
      </c>
      <c r="I10" s="23"/>
      <c r="J10" s="24">
        <v>0</v>
      </c>
      <c r="K10" s="25">
        <f t="shared" ref="K10:K20" si="0">IF(J10="","",J10-H10)</f>
        <v>0</v>
      </c>
      <c r="N10" s="66"/>
      <c r="O10" s="13">
        <v>0</v>
      </c>
      <c r="P10" s="23"/>
      <c r="Q10" s="24">
        <v>0</v>
      </c>
      <c r="R10" s="25">
        <f t="shared" ref="R10:R13" si="1">IF(Q10="","",Q10-O10)</f>
        <v>0</v>
      </c>
      <c r="S10" s="267"/>
    </row>
    <row r="11" spans="2:20" ht="12.75" customHeight="1" outlineLevel="1" x14ac:dyDescent="0.25">
      <c r="B11" s="177">
        <v>46024</v>
      </c>
      <c r="C11" s="12" t="s">
        <v>8</v>
      </c>
      <c r="D11" s="243"/>
      <c r="E11" s="244" t="s">
        <v>85</v>
      </c>
      <c r="F11" s="245"/>
      <c r="G11" s="66">
        <v>2240</v>
      </c>
      <c r="H11" s="13">
        <f t="shared" ref="H11:H19" si="2">IF(C11="","",IF(C11="Entrée",H10+G11,IF(C11="Sortie",H10-G11)))</f>
        <v>2240</v>
      </c>
      <c r="I11" s="23"/>
      <c r="J11" s="24">
        <v>2240</v>
      </c>
      <c r="K11" s="25">
        <f t="shared" si="0"/>
        <v>0</v>
      </c>
      <c r="N11" s="66"/>
      <c r="O11" s="13">
        <v>0</v>
      </c>
      <c r="P11" s="23"/>
      <c r="Q11" s="24"/>
      <c r="R11" s="25"/>
      <c r="S11" s="267"/>
    </row>
    <row r="12" spans="2:20" ht="12.75" customHeight="1" outlineLevel="1" x14ac:dyDescent="0.25">
      <c r="B12" s="177">
        <v>46025</v>
      </c>
      <c r="C12" s="292" t="s">
        <v>8</v>
      </c>
      <c r="D12" s="293"/>
      <c r="E12" s="294" t="s">
        <v>46</v>
      </c>
      <c r="F12" s="295"/>
      <c r="G12" s="296"/>
      <c r="H12" s="13">
        <f t="shared" si="2"/>
        <v>2240</v>
      </c>
      <c r="I12" s="23"/>
      <c r="J12" s="24"/>
      <c r="K12" s="25" t="str">
        <f t="shared" si="0"/>
        <v/>
      </c>
      <c r="N12" s="66"/>
      <c r="O12" s="13">
        <v>0</v>
      </c>
      <c r="P12" s="23"/>
      <c r="Q12" s="24"/>
      <c r="R12" s="25" t="str">
        <f t="shared" si="1"/>
        <v/>
      </c>
      <c r="S12" s="267"/>
    </row>
    <row r="13" spans="2:20" ht="12.75" customHeight="1" outlineLevel="1" x14ac:dyDescent="0.25">
      <c r="B13" s="177">
        <v>46025</v>
      </c>
      <c r="C13" s="12" t="s">
        <v>9</v>
      </c>
      <c r="D13" s="243"/>
      <c r="E13" s="244" t="s">
        <v>88</v>
      </c>
      <c r="F13" s="245"/>
      <c r="G13" s="66">
        <v>700</v>
      </c>
      <c r="H13" s="13">
        <f t="shared" si="2"/>
        <v>1540</v>
      </c>
      <c r="I13" s="23"/>
      <c r="J13" s="24"/>
      <c r="K13" s="25" t="str">
        <f t="shared" si="0"/>
        <v/>
      </c>
      <c r="N13" s="66"/>
      <c r="O13" s="13">
        <v>0</v>
      </c>
      <c r="P13" s="23"/>
      <c r="Q13" s="24"/>
      <c r="R13" s="25" t="str">
        <f t="shared" si="1"/>
        <v/>
      </c>
      <c r="S13" s="267"/>
    </row>
    <row r="14" spans="2:20" ht="12.75" customHeight="1" outlineLevel="1" x14ac:dyDescent="0.25">
      <c r="B14" s="177">
        <v>46025</v>
      </c>
      <c r="C14" s="12" t="s">
        <v>9</v>
      </c>
      <c r="D14" s="253"/>
      <c r="E14" s="244" t="s">
        <v>88</v>
      </c>
      <c r="F14" s="52"/>
      <c r="G14" s="66">
        <v>700</v>
      </c>
      <c r="H14" s="13">
        <f t="shared" si="2"/>
        <v>840</v>
      </c>
      <c r="I14" s="23"/>
      <c r="J14" s="24"/>
      <c r="K14" s="25" t="str">
        <f t="shared" si="0"/>
        <v/>
      </c>
      <c r="N14" s="66"/>
      <c r="O14" s="13">
        <v>0</v>
      </c>
      <c r="P14" s="23"/>
      <c r="Q14" s="24"/>
      <c r="R14" s="25" t="str">
        <f t="shared" ref="R14:R20" si="3">IF(Q14="","",Q14-O14)</f>
        <v/>
      </c>
      <c r="S14" s="267"/>
    </row>
    <row r="15" spans="2:20" ht="12.75" customHeight="1" outlineLevel="1" x14ac:dyDescent="0.25">
      <c r="B15" s="177">
        <v>46025</v>
      </c>
      <c r="C15" s="12" t="s">
        <v>9</v>
      </c>
      <c r="D15" s="253"/>
      <c r="E15" s="244" t="s">
        <v>88</v>
      </c>
      <c r="F15" s="52"/>
      <c r="G15" s="59">
        <v>700</v>
      </c>
      <c r="H15" s="13">
        <f t="shared" si="2"/>
        <v>140</v>
      </c>
      <c r="I15" s="23"/>
      <c r="J15" s="24"/>
      <c r="K15" s="25" t="str">
        <f t="shared" si="0"/>
        <v/>
      </c>
      <c r="N15" s="66"/>
      <c r="O15" s="13">
        <f t="shared" ref="O15:O19" si="4">IF(C15="","",IF(C15="Entrée",O14+N15,IF(C15="Sortie",O14-N15)))</f>
        <v>0</v>
      </c>
      <c r="P15" s="23"/>
      <c r="Q15" s="24"/>
      <c r="R15" s="25" t="str">
        <f t="shared" si="3"/>
        <v/>
      </c>
      <c r="S15" s="267"/>
    </row>
    <row r="16" spans="2:20" ht="12.75" customHeight="1" outlineLevel="1" x14ac:dyDescent="0.25">
      <c r="B16" s="177">
        <v>46026</v>
      </c>
      <c r="C16" s="292" t="s">
        <v>8</v>
      </c>
      <c r="D16" s="293"/>
      <c r="E16" s="294" t="s">
        <v>46</v>
      </c>
      <c r="F16" s="295"/>
      <c r="G16" s="296"/>
      <c r="H16" s="13">
        <f t="shared" si="2"/>
        <v>140</v>
      </c>
      <c r="I16" s="23"/>
      <c r="J16" s="24">
        <v>140</v>
      </c>
      <c r="K16" s="25">
        <f t="shared" si="0"/>
        <v>0</v>
      </c>
      <c r="N16" s="59"/>
      <c r="O16" s="13">
        <f t="shared" si="4"/>
        <v>0</v>
      </c>
      <c r="P16" s="23"/>
      <c r="Q16" s="24"/>
      <c r="R16" s="25" t="str">
        <f t="shared" si="3"/>
        <v/>
      </c>
      <c r="S16" s="267"/>
    </row>
    <row r="17" spans="1:19" ht="12.75" customHeight="1" outlineLevel="1" x14ac:dyDescent="0.25">
      <c r="B17" s="177">
        <v>46027</v>
      </c>
      <c r="C17" s="292" t="s">
        <v>8</v>
      </c>
      <c r="D17" s="293"/>
      <c r="E17" s="294" t="s">
        <v>46</v>
      </c>
      <c r="F17" s="295"/>
      <c r="G17" s="296"/>
      <c r="H17" s="13">
        <f t="shared" ref="H17" si="5">IF(C17="","",IF(C17="Entrée",H16+G17,IF(C17="Sortie",H16-G17)))</f>
        <v>140</v>
      </c>
      <c r="I17" s="23"/>
      <c r="J17" s="24">
        <v>140</v>
      </c>
      <c r="K17" s="25">
        <f t="shared" ref="K17" si="6">IF(J17="","",J17-H17)</f>
        <v>0</v>
      </c>
      <c r="N17" s="59"/>
      <c r="O17" s="13">
        <f t="shared" ref="O17" si="7">IF(C17="","",IF(C17="Entrée",O16+N17,IF(C17="Sortie",O16-N17)))</f>
        <v>0</v>
      </c>
      <c r="P17" s="23"/>
      <c r="Q17" s="24"/>
      <c r="R17" s="25" t="str">
        <f t="shared" ref="R17" si="8">IF(Q17="","",Q17-O17)</f>
        <v/>
      </c>
      <c r="S17" s="267"/>
    </row>
    <row r="18" spans="1:19" ht="12.75" customHeight="1" outlineLevel="1" x14ac:dyDescent="0.25">
      <c r="B18" s="263"/>
      <c r="C18" s="12"/>
      <c r="D18" s="261"/>
      <c r="E18" s="264"/>
      <c r="F18" s="65"/>
      <c r="G18" s="66"/>
      <c r="H18" s="13" t="str">
        <f t="shared" si="2"/>
        <v/>
      </c>
      <c r="I18" s="13"/>
      <c r="J18" s="24"/>
      <c r="K18" s="25" t="str">
        <f t="shared" si="0"/>
        <v/>
      </c>
      <c r="N18" s="66"/>
      <c r="O18" s="13" t="str">
        <f t="shared" si="4"/>
        <v/>
      </c>
      <c r="P18" s="23"/>
      <c r="Q18" s="24"/>
      <c r="R18" s="25" t="str">
        <f t="shared" si="3"/>
        <v/>
      </c>
      <c r="S18" s="267"/>
    </row>
    <row r="19" spans="1:19" ht="12.75" customHeight="1" outlineLevel="1" x14ac:dyDescent="0.25">
      <c r="B19" s="63"/>
      <c r="C19" s="12"/>
      <c r="D19" s="261"/>
      <c r="E19" s="64"/>
      <c r="F19" s="65"/>
      <c r="G19" s="66"/>
      <c r="H19" s="13" t="str">
        <f t="shared" si="2"/>
        <v/>
      </c>
      <c r="I19" s="23"/>
      <c r="J19" s="24"/>
      <c r="K19" s="25" t="str">
        <f t="shared" si="0"/>
        <v/>
      </c>
      <c r="N19" s="66"/>
      <c r="O19" s="13" t="str">
        <f t="shared" si="4"/>
        <v/>
      </c>
      <c r="P19" s="23"/>
      <c r="Q19" s="24"/>
      <c r="R19" s="25" t="str">
        <f t="shared" si="3"/>
        <v/>
      </c>
      <c r="S19" s="267"/>
    </row>
    <row r="20" spans="1:19" ht="12.75" customHeight="1" outlineLevel="1" x14ac:dyDescent="0.25">
      <c r="B20" s="26"/>
      <c r="C20" s="27"/>
      <c r="D20" s="72"/>
      <c r="E20" s="39"/>
      <c r="F20" s="53"/>
      <c r="G20" s="60"/>
      <c r="H20" s="29" t="str">
        <f>IF(C20="","",IF(C20="Entrée",#REF!+G20,IF(C20="Sortie",#REF!-G20)))</f>
        <v/>
      </c>
      <c r="I20" s="30"/>
      <c r="J20" s="31"/>
      <c r="K20" s="32" t="str">
        <f t="shared" si="0"/>
        <v/>
      </c>
      <c r="N20" s="60"/>
      <c r="O20" s="29" t="str">
        <f>IF(C20="","",IF(J20="Entrée",#REF!+N20,IF(J20="Sortie",#REF!-N20)))</f>
        <v/>
      </c>
      <c r="P20" s="30"/>
      <c r="Q20" s="31"/>
      <c r="R20" s="32" t="str">
        <f t="shared" si="3"/>
        <v/>
      </c>
      <c r="S20" s="267"/>
    </row>
    <row r="21" spans="1:19" ht="7.35" customHeight="1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N21" s="6"/>
      <c r="O21" s="6"/>
      <c r="P21" s="6"/>
      <c r="Q21" s="6"/>
      <c r="R21" s="6"/>
      <c r="S21" s="268"/>
    </row>
    <row r="22" spans="1:19" ht="21" customHeight="1" x14ac:dyDescent="0.25">
      <c r="B22" s="6"/>
      <c r="C22" s="6"/>
      <c r="D22" s="6"/>
      <c r="E22" s="6"/>
      <c r="F22" s="70" t="s">
        <v>11</v>
      </c>
      <c r="G22" s="71">
        <f>SUMIF(C9:C20,"Entrée",G9:G20)</f>
        <v>2240</v>
      </c>
      <c r="H22" s="6"/>
      <c r="I22" s="6"/>
      <c r="J22" s="6"/>
      <c r="K22" s="6"/>
      <c r="L22" s="6"/>
      <c r="O22" s="15"/>
      <c r="P22" s="61"/>
      <c r="Q22" s="70" t="s">
        <v>25</v>
      </c>
      <c r="R22" s="71">
        <f>SUMIF(C9:C20,"Entrée",N9:N20)</f>
        <v>0</v>
      </c>
      <c r="S22" s="268"/>
    </row>
    <row r="23" spans="1:19" ht="21" customHeight="1" x14ac:dyDescent="0.25">
      <c r="B23" s="6"/>
      <c r="C23" s="6"/>
      <c r="E23" s="6"/>
      <c r="F23" s="70" t="s">
        <v>12</v>
      </c>
      <c r="G23" s="71">
        <f>SUMIF(C9:C20,"Sortie",G9:G20)</f>
        <v>2100</v>
      </c>
      <c r="H23" s="6"/>
      <c r="I23" s="6"/>
      <c r="J23" s="6"/>
      <c r="K23" s="6"/>
      <c r="L23" s="6"/>
      <c r="O23" s="15"/>
      <c r="P23" s="61"/>
      <c r="Q23" s="70" t="s">
        <v>24</v>
      </c>
      <c r="R23" s="71">
        <f>SUMIF(C9:C20,"Sortie",N9:N20)</f>
        <v>0</v>
      </c>
      <c r="S23" s="268"/>
    </row>
    <row r="24" spans="1:19" ht="9" customHeight="1" x14ac:dyDescent="0.25">
      <c r="B24" s="85"/>
      <c r="C24" s="6"/>
      <c r="E24" s="6"/>
      <c r="F24" s="67"/>
      <c r="G24" s="68"/>
      <c r="H24" s="6"/>
      <c r="I24" s="6"/>
      <c r="J24" s="6"/>
      <c r="K24" s="6"/>
      <c r="L24" s="6"/>
      <c r="O24" s="69"/>
      <c r="P24" s="69"/>
      <c r="Q24" s="67"/>
      <c r="R24" s="68"/>
      <c r="S24" s="6"/>
    </row>
    <row r="25" spans="1:19" ht="21" customHeight="1" thickBot="1" x14ac:dyDescent="0.3">
      <c r="A25" s="35"/>
      <c r="B25" s="44"/>
      <c r="C25" s="44"/>
      <c r="D25" s="35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1:19" ht="21" customHeight="1" x14ac:dyDescent="0.25">
      <c r="B26" s="6"/>
      <c r="C26" s="6"/>
      <c r="E26" s="6"/>
      <c r="F26" s="6"/>
      <c r="G26" s="6"/>
      <c r="H26" s="6"/>
      <c r="I26" s="6"/>
      <c r="J26" s="6"/>
      <c r="K26" s="6"/>
      <c r="L26" s="6"/>
      <c r="N26" s="6"/>
      <c r="O26" s="6"/>
      <c r="P26" s="6"/>
      <c r="Q26" s="6"/>
      <c r="R26" s="6"/>
      <c r="S26" s="6"/>
    </row>
    <row r="27" spans="1:19" ht="21" customHeight="1" x14ac:dyDescent="0.3">
      <c r="B27" s="78"/>
      <c r="C27" s="78"/>
      <c r="D27" s="79"/>
      <c r="E27" s="78"/>
      <c r="F27" s="78"/>
      <c r="G27" s="312" t="s">
        <v>16</v>
      </c>
      <c r="H27" s="313"/>
      <c r="I27" s="80"/>
      <c r="J27" s="314" t="s">
        <v>0</v>
      </c>
      <c r="K27" s="315"/>
      <c r="L27" s="79"/>
      <c r="M27" s="79"/>
      <c r="N27" s="312" t="s">
        <v>17</v>
      </c>
      <c r="O27" s="313"/>
      <c r="P27" s="80"/>
      <c r="Q27" s="314" t="s">
        <v>0</v>
      </c>
      <c r="R27" s="315"/>
      <c r="S27" s="269"/>
    </row>
    <row r="28" spans="1:19" ht="22.5" customHeight="1" x14ac:dyDescent="0.25">
      <c r="B28" s="46" t="s">
        <v>1</v>
      </c>
      <c r="C28" s="7" t="s">
        <v>7</v>
      </c>
      <c r="D28" s="47" t="s">
        <v>5</v>
      </c>
      <c r="E28" s="48" t="s">
        <v>14</v>
      </c>
      <c r="F28" s="7" t="s">
        <v>4</v>
      </c>
      <c r="G28" s="82" t="s">
        <v>2</v>
      </c>
      <c r="H28" s="50" t="s">
        <v>13</v>
      </c>
      <c r="I28" s="23"/>
      <c r="J28" s="81" t="s">
        <v>0</v>
      </c>
      <c r="K28" s="84" t="s">
        <v>3</v>
      </c>
      <c r="N28" s="83" t="s">
        <v>2</v>
      </c>
      <c r="O28" s="40" t="s">
        <v>13</v>
      </c>
      <c r="P28" s="23"/>
      <c r="Q28" s="81" t="s">
        <v>0</v>
      </c>
      <c r="R28" s="84" t="s">
        <v>3</v>
      </c>
      <c r="S28" s="94"/>
    </row>
    <row r="29" spans="1:19" ht="4.3499999999999996" customHeight="1" x14ac:dyDescent="0.25">
      <c r="J29" s="1"/>
      <c r="K29" s="1"/>
      <c r="Q29" s="1"/>
      <c r="R29" s="1"/>
      <c r="S29" s="94"/>
    </row>
    <row r="30" spans="1:19" ht="18.75" customHeight="1" x14ac:dyDescent="0.3">
      <c r="B30" s="49" t="s">
        <v>30</v>
      </c>
      <c r="C30" s="11"/>
      <c r="D30" s="3"/>
      <c r="E30" s="3"/>
      <c r="F30" s="3"/>
      <c r="G30" s="56"/>
      <c r="H30" s="4"/>
      <c r="I30" s="23"/>
      <c r="J30" s="4"/>
      <c r="K30" s="57"/>
      <c r="N30" s="56"/>
      <c r="O30" s="4"/>
      <c r="P30" s="23"/>
      <c r="Q30" s="4"/>
      <c r="R30" s="57"/>
      <c r="S30" s="94"/>
    </row>
    <row r="31" spans="1:19" ht="12.75" customHeight="1" outlineLevel="1" x14ac:dyDescent="0.25">
      <c r="B31" s="179" t="s">
        <v>81</v>
      </c>
      <c r="C31" s="16"/>
      <c r="D31" s="260"/>
      <c r="E31" s="37"/>
      <c r="F31" s="51"/>
      <c r="G31" s="66"/>
      <c r="H31" s="18"/>
      <c r="I31" s="19"/>
      <c r="J31" s="20"/>
      <c r="K31" s="21" t="str">
        <f>IF(J31="","",J31-H31)</f>
        <v/>
      </c>
      <c r="N31" s="66"/>
      <c r="O31" s="18"/>
      <c r="P31" s="19"/>
      <c r="Q31" s="20"/>
      <c r="R31" s="21" t="str">
        <f>IF(Q31="","",Q31-O31)</f>
        <v/>
      </c>
      <c r="S31" s="94"/>
    </row>
    <row r="32" spans="1:19" ht="12.75" customHeight="1" outlineLevel="1" x14ac:dyDescent="0.25">
      <c r="B32" s="177">
        <v>46024</v>
      </c>
      <c r="C32" s="292" t="s">
        <v>8</v>
      </c>
      <c r="D32" s="293"/>
      <c r="E32" s="294" t="s">
        <v>46</v>
      </c>
      <c r="F32" s="295"/>
      <c r="G32" s="296"/>
      <c r="H32" s="13">
        <v>24687</v>
      </c>
      <c r="I32" s="23"/>
      <c r="J32" s="24">
        <v>24687</v>
      </c>
      <c r="K32" s="25">
        <f t="shared" ref="K32:K40" si="9">IF(J32="","",J32-H32)</f>
        <v>0</v>
      </c>
      <c r="N32" s="66"/>
      <c r="O32" s="13">
        <v>2161</v>
      </c>
      <c r="P32" s="23"/>
      <c r="Q32" s="24">
        <v>2161</v>
      </c>
      <c r="R32" s="25">
        <f t="shared" ref="R32:R40" si="10">IF(Q32="","",Q32-O32)</f>
        <v>0</v>
      </c>
      <c r="S32" s="94"/>
    </row>
    <row r="33" spans="1:19" ht="12.75" customHeight="1" outlineLevel="1" x14ac:dyDescent="0.25">
      <c r="B33" s="177">
        <v>46025</v>
      </c>
      <c r="C33" s="292" t="s">
        <v>8</v>
      </c>
      <c r="D33" s="293"/>
      <c r="E33" s="294" t="s">
        <v>46</v>
      </c>
      <c r="F33" s="295"/>
      <c r="G33" s="297"/>
      <c r="H33" s="13">
        <f t="shared" ref="H33:H39" si="11">IF(C33="","",IF(C33="Entrée",H32+G33,IF(C33="Sortie",H32-G33)))</f>
        <v>24687</v>
      </c>
      <c r="I33" s="23"/>
      <c r="J33" s="24">
        <v>24687</v>
      </c>
      <c r="K33" s="25">
        <f t="shared" si="9"/>
        <v>0</v>
      </c>
      <c r="N33" s="66"/>
      <c r="O33" s="13">
        <f t="shared" ref="O33:O39" si="12">IF(C33="","",IF(C33="Entrée",O32+N33,IF(C33="Sortie",O32-N33)))</f>
        <v>2161</v>
      </c>
      <c r="P33" s="23"/>
      <c r="Q33" s="24">
        <v>2161</v>
      </c>
      <c r="R33" s="25">
        <f t="shared" si="10"/>
        <v>0</v>
      </c>
      <c r="S33" s="94"/>
    </row>
    <row r="34" spans="1:19" ht="12.75" customHeight="1" outlineLevel="1" x14ac:dyDescent="0.25">
      <c r="B34" s="177">
        <v>46026</v>
      </c>
      <c r="C34" s="292" t="s">
        <v>8</v>
      </c>
      <c r="D34" s="293"/>
      <c r="E34" s="294" t="s">
        <v>46</v>
      </c>
      <c r="F34" s="295"/>
      <c r="G34" s="297"/>
      <c r="H34" s="13">
        <f t="shared" ref="H34:H35" si="13">IF(C34="","",IF(C34="Entrée",H33+G34,IF(C34="Sortie",H33-G34)))</f>
        <v>24687</v>
      </c>
      <c r="I34" s="23"/>
      <c r="J34" s="24">
        <v>24687</v>
      </c>
      <c r="K34" s="25">
        <f t="shared" ref="K34:K35" si="14">IF(J34="","",J34-H34)</f>
        <v>0</v>
      </c>
      <c r="N34" s="66"/>
      <c r="O34" s="13">
        <f t="shared" ref="O34:O35" si="15">IF(C34="","",IF(C34="Entrée",O33+N34,IF(C34="Sortie",O33-N34)))</f>
        <v>2161</v>
      </c>
      <c r="P34" s="23"/>
      <c r="Q34" s="24">
        <v>2161</v>
      </c>
      <c r="R34" s="25">
        <f t="shared" ref="R34:R35" si="16">IF(Q34="","",Q34-O34)</f>
        <v>0</v>
      </c>
      <c r="S34" s="94"/>
    </row>
    <row r="35" spans="1:19" ht="12.75" customHeight="1" outlineLevel="1" x14ac:dyDescent="0.25">
      <c r="B35" s="177">
        <v>46027</v>
      </c>
      <c r="C35" s="292" t="s">
        <v>8</v>
      </c>
      <c r="D35" s="293"/>
      <c r="E35" s="294" t="s">
        <v>46</v>
      </c>
      <c r="F35" s="295"/>
      <c r="G35" s="297"/>
      <c r="H35" s="13">
        <f t="shared" si="13"/>
        <v>24687</v>
      </c>
      <c r="I35" s="23"/>
      <c r="J35" s="24">
        <v>24687</v>
      </c>
      <c r="K35" s="25">
        <f t="shared" si="14"/>
        <v>0</v>
      </c>
      <c r="N35" s="66"/>
      <c r="O35" s="13">
        <f t="shared" si="15"/>
        <v>2161</v>
      </c>
      <c r="P35" s="23"/>
      <c r="Q35" s="24">
        <v>2161</v>
      </c>
      <c r="R35" s="25">
        <f t="shared" si="16"/>
        <v>0</v>
      </c>
      <c r="S35" s="94"/>
    </row>
    <row r="36" spans="1:19" ht="12.75" customHeight="1" outlineLevel="1" x14ac:dyDescent="0.25">
      <c r="B36" s="177"/>
      <c r="C36" s="12"/>
      <c r="D36" s="243"/>
      <c r="E36" s="244"/>
      <c r="F36" s="245"/>
      <c r="G36" s="66"/>
      <c r="H36" s="13" t="str">
        <f t="shared" si="11"/>
        <v/>
      </c>
      <c r="I36" s="23"/>
      <c r="J36" s="24"/>
      <c r="K36" s="25" t="str">
        <f t="shared" si="9"/>
        <v/>
      </c>
      <c r="N36" s="66"/>
      <c r="O36" s="13" t="str">
        <f t="shared" si="12"/>
        <v/>
      </c>
      <c r="P36" s="23"/>
      <c r="Q36" s="24"/>
      <c r="R36" s="25" t="str">
        <f t="shared" si="10"/>
        <v/>
      </c>
      <c r="S36" s="94"/>
    </row>
    <row r="37" spans="1:19" ht="12.75" customHeight="1" outlineLevel="1" x14ac:dyDescent="0.25">
      <c r="B37" s="177"/>
      <c r="C37" s="12"/>
      <c r="D37" s="243"/>
      <c r="E37" s="244"/>
      <c r="F37" s="245"/>
      <c r="G37" s="66"/>
      <c r="H37" s="13" t="str">
        <f>IF(C37="","",IF(C37="Entrée",#REF!+G37,IF(C37="Sortie",#REF!-G37)))</f>
        <v/>
      </c>
      <c r="I37" s="23"/>
      <c r="J37" s="24"/>
      <c r="K37" s="25" t="str">
        <f t="shared" si="9"/>
        <v/>
      </c>
      <c r="N37" s="66"/>
      <c r="O37" s="13" t="str">
        <f>IF(C37="","",IF(C37="Entrée",#REF!+N37,IF(C37="Sortie",#REF!-N37)))</f>
        <v/>
      </c>
      <c r="P37" s="23"/>
      <c r="Q37" s="24"/>
      <c r="R37" s="25" t="str">
        <f t="shared" si="10"/>
        <v/>
      </c>
      <c r="S37" s="94"/>
    </row>
    <row r="38" spans="1:19" ht="12.75" customHeight="1" outlineLevel="1" x14ac:dyDescent="0.25">
      <c r="B38" s="177"/>
      <c r="C38" s="12"/>
      <c r="D38" s="262"/>
      <c r="E38" s="244"/>
      <c r="F38" s="52"/>
      <c r="G38" s="66"/>
      <c r="H38" s="13" t="str">
        <f t="shared" si="11"/>
        <v/>
      </c>
      <c r="I38" s="23"/>
      <c r="J38" s="24"/>
      <c r="K38" s="25" t="str">
        <f t="shared" si="9"/>
        <v/>
      </c>
      <c r="N38" s="66"/>
      <c r="O38" s="13" t="str">
        <f t="shared" si="12"/>
        <v/>
      </c>
      <c r="P38" s="23"/>
      <c r="Q38" s="24"/>
      <c r="R38" s="25" t="str">
        <f t="shared" si="10"/>
        <v/>
      </c>
      <c r="S38" s="94"/>
    </row>
    <row r="39" spans="1:19" ht="12.75" customHeight="1" outlineLevel="1" x14ac:dyDescent="0.25">
      <c r="B39" s="177"/>
      <c r="C39" s="12"/>
      <c r="D39" s="243"/>
      <c r="E39" s="244"/>
      <c r="F39" s="245"/>
      <c r="G39" s="66"/>
      <c r="H39" s="13" t="str">
        <f t="shared" si="11"/>
        <v/>
      </c>
      <c r="I39" s="23"/>
      <c r="J39" s="24"/>
      <c r="K39" s="25" t="str">
        <f t="shared" si="9"/>
        <v/>
      </c>
      <c r="N39" s="66"/>
      <c r="O39" s="13" t="str">
        <f t="shared" si="12"/>
        <v/>
      </c>
      <c r="P39" s="23"/>
      <c r="Q39" s="24"/>
      <c r="R39" s="25" t="str">
        <f t="shared" si="10"/>
        <v/>
      </c>
      <c r="S39" s="94"/>
    </row>
    <row r="40" spans="1:19" ht="12.75" customHeight="1" outlineLevel="1" x14ac:dyDescent="0.25">
      <c r="B40" s="26"/>
      <c r="C40" s="27"/>
      <c r="D40" s="28"/>
      <c r="E40" s="39"/>
      <c r="F40" s="43"/>
      <c r="G40" s="60"/>
      <c r="H40" s="29" t="str">
        <f>IF(C40="","",IF(C40="Entrée",#REF!+G40,IF(C40="Sortie",#REF!-G40)))</f>
        <v/>
      </c>
      <c r="I40" s="30"/>
      <c r="J40" s="31"/>
      <c r="K40" s="25" t="str">
        <f t="shared" si="9"/>
        <v/>
      </c>
      <c r="N40" s="60"/>
      <c r="O40" s="29" t="str">
        <f>IF(C40="","",IF(C40="Entrée",#REF!+N40,IF(C40="Sortie",#REF!-N40)))</f>
        <v/>
      </c>
      <c r="P40" s="30"/>
      <c r="Q40" s="31"/>
      <c r="R40" s="32" t="str">
        <f t="shared" si="10"/>
        <v/>
      </c>
      <c r="S40" s="94"/>
    </row>
    <row r="41" spans="1:19" ht="6.6" customHeight="1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N41" s="6"/>
      <c r="O41" s="6"/>
      <c r="P41" s="6"/>
      <c r="Q41" s="6"/>
      <c r="R41" s="6"/>
      <c r="S41" s="94"/>
    </row>
    <row r="42" spans="1:19" ht="26.1" customHeight="1" x14ac:dyDescent="0.25">
      <c r="B42" s="6"/>
      <c r="C42" s="6"/>
      <c r="D42" s="6"/>
      <c r="E42" s="6"/>
      <c r="F42" s="62" t="s">
        <v>18</v>
      </c>
      <c r="G42" s="33">
        <f>SUMIF(C31:C40,"Entrée",G31:G40)</f>
        <v>0</v>
      </c>
      <c r="H42" s="6"/>
      <c r="I42" s="6"/>
      <c r="J42" s="6"/>
      <c r="K42" s="6"/>
      <c r="L42" s="6"/>
      <c r="O42" s="15"/>
      <c r="P42" s="61"/>
      <c r="Q42" s="34" t="s">
        <v>20</v>
      </c>
      <c r="R42" s="33">
        <f>SUMIF(C31:C40,"Entrée",N31:N40)</f>
        <v>0</v>
      </c>
      <c r="S42" s="269"/>
    </row>
    <row r="43" spans="1:19" ht="26.1" customHeight="1" x14ac:dyDescent="0.25">
      <c r="B43" s="6"/>
      <c r="C43" s="6"/>
      <c r="E43" s="6"/>
      <c r="F43" s="62" t="s">
        <v>19</v>
      </c>
      <c r="G43" s="33">
        <f>SUMIF(C31:C40,"Sortie",G31:G40)</f>
        <v>0</v>
      </c>
      <c r="H43" s="6"/>
      <c r="I43" s="6"/>
      <c r="J43" s="6"/>
      <c r="K43" s="6"/>
      <c r="L43" s="6"/>
      <c r="O43" s="15"/>
      <c r="P43" s="61"/>
      <c r="Q43" s="34" t="s">
        <v>21</v>
      </c>
      <c r="R43" s="33">
        <f>SUMIF(C31:C40,"Sortie",N31:N40)</f>
        <v>0</v>
      </c>
      <c r="S43" s="269"/>
    </row>
    <row r="44" spans="1:19" ht="21" customHeight="1" thickBot="1" x14ac:dyDescent="0.3">
      <c r="A44" s="35"/>
      <c r="B44" s="44"/>
      <c r="C44" s="44"/>
      <c r="D44" s="35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1:19" ht="21" customHeight="1" x14ac:dyDescent="0.25">
      <c r="B45" s="6"/>
      <c r="C45" s="6"/>
      <c r="E45" s="6"/>
      <c r="F45" s="6"/>
      <c r="G45" s="6"/>
      <c r="H45" s="6"/>
      <c r="I45" s="6"/>
      <c r="J45" s="6"/>
      <c r="K45" s="6"/>
      <c r="L45" s="6"/>
      <c r="N45" s="6"/>
      <c r="O45" s="6"/>
      <c r="P45" s="6"/>
      <c r="Q45" s="6"/>
      <c r="R45" s="6"/>
      <c r="S45" s="6"/>
    </row>
    <row r="46" spans="1:19" ht="21" customHeight="1" x14ac:dyDescent="0.3">
      <c r="B46" s="237"/>
      <c r="C46" s="237"/>
      <c r="D46" s="239"/>
      <c r="E46" s="237"/>
      <c r="F46" s="237"/>
      <c r="G46" s="302" t="s">
        <v>16</v>
      </c>
      <c r="H46" s="303"/>
      <c r="I46" s="238"/>
      <c r="J46" s="304" t="s">
        <v>0</v>
      </c>
      <c r="K46" s="305"/>
      <c r="L46" s="239"/>
      <c r="M46" s="239"/>
      <c r="N46" s="306" t="s">
        <v>17</v>
      </c>
      <c r="O46" s="307"/>
      <c r="P46" s="238"/>
      <c r="Q46" s="304" t="s">
        <v>0</v>
      </c>
      <c r="R46" s="305"/>
      <c r="S46" s="270"/>
    </row>
    <row r="47" spans="1:19" ht="22.5" customHeight="1" x14ac:dyDescent="0.25">
      <c r="B47" s="46" t="s">
        <v>1</v>
      </c>
      <c r="C47" s="7" t="s">
        <v>7</v>
      </c>
      <c r="D47" s="47" t="s">
        <v>5</v>
      </c>
      <c r="E47" s="48" t="s">
        <v>14</v>
      </c>
      <c r="F47" s="7" t="s">
        <v>4</v>
      </c>
      <c r="G47" s="82" t="s">
        <v>2</v>
      </c>
      <c r="H47" s="50" t="s">
        <v>13</v>
      </c>
      <c r="I47" s="23"/>
      <c r="J47" s="81" t="s">
        <v>0</v>
      </c>
      <c r="K47" s="84" t="s">
        <v>3</v>
      </c>
      <c r="N47" s="83" t="s">
        <v>2</v>
      </c>
      <c r="O47" s="40" t="s">
        <v>13</v>
      </c>
      <c r="P47" s="23"/>
      <c r="Q47" s="81" t="s">
        <v>0</v>
      </c>
      <c r="R47" s="84" t="s">
        <v>3</v>
      </c>
      <c r="S47" s="271"/>
    </row>
    <row r="48" spans="1:19" ht="4.3499999999999996" customHeight="1" x14ac:dyDescent="0.25">
      <c r="J48" s="1"/>
      <c r="K48" s="1"/>
      <c r="Q48" s="1"/>
      <c r="R48" s="1"/>
      <c r="S48" s="271"/>
    </row>
    <row r="49" spans="2:19" ht="18.75" customHeight="1" x14ac:dyDescent="0.3">
      <c r="B49" s="49" t="s">
        <v>72</v>
      </c>
      <c r="C49" s="11"/>
      <c r="D49" s="3"/>
      <c r="E49" s="3"/>
      <c r="F49" s="3"/>
      <c r="G49" s="56"/>
      <c r="H49" s="4"/>
      <c r="I49" s="23"/>
      <c r="J49" s="4"/>
      <c r="K49" s="57"/>
      <c r="N49" s="56"/>
      <c r="O49" s="4"/>
      <c r="P49" s="23"/>
      <c r="Q49" s="4"/>
      <c r="R49" s="57"/>
      <c r="S49" s="271"/>
    </row>
    <row r="50" spans="2:19" ht="12.75" customHeight="1" outlineLevel="1" x14ac:dyDescent="0.25">
      <c r="B50" s="179" t="s">
        <v>81</v>
      </c>
      <c r="C50" s="16"/>
      <c r="D50" s="260"/>
      <c r="E50" s="37"/>
      <c r="F50" s="51"/>
      <c r="G50" s="58"/>
      <c r="H50" s="18"/>
      <c r="I50" s="19"/>
      <c r="J50" s="20"/>
      <c r="K50" s="21" t="str">
        <f>IF(J50="","",J50-H50)</f>
        <v/>
      </c>
      <c r="N50" s="58"/>
      <c r="O50" s="18"/>
      <c r="P50" s="19"/>
      <c r="Q50" s="20"/>
      <c r="R50" s="21" t="str">
        <f>IF(Q50="","",Q50-O50)</f>
        <v/>
      </c>
      <c r="S50" s="271"/>
    </row>
    <row r="51" spans="2:19" ht="12.75" customHeight="1" outlineLevel="1" x14ac:dyDescent="0.25">
      <c r="B51" s="177">
        <v>45931</v>
      </c>
      <c r="C51" s="292" t="s">
        <v>8</v>
      </c>
      <c r="D51" s="293"/>
      <c r="E51" s="294" t="s">
        <v>46</v>
      </c>
      <c r="F51" s="295"/>
      <c r="G51" s="297"/>
      <c r="H51" s="13">
        <v>0</v>
      </c>
      <c r="I51" s="23"/>
      <c r="J51" s="24">
        <v>0</v>
      </c>
      <c r="K51" s="25">
        <f t="shared" ref="K51:K60" si="17">IF(J51="","",J51-H51)</f>
        <v>0</v>
      </c>
      <c r="N51" s="66"/>
      <c r="O51" s="13">
        <v>0</v>
      </c>
      <c r="P51" s="23"/>
      <c r="Q51" s="24"/>
      <c r="R51" s="25" t="str">
        <f t="shared" ref="R51:R60" si="18">IF(Q51="","",Q51-O51)</f>
        <v/>
      </c>
      <c r="S51" s="271"/>
    </row>
    <row r="52" spans="2:19" ht="12.75" customHeight="1" outlineLevel="1" x14ac:dyDescent="0.25">
      <c r="B52" s="177">
        <v>45932</v>
      </c>
      <c r="C52" s="292" t="s">
        <v>8</v>
      </c>
      <c r="D52" s="293"/>
      <c r="E52" s="294" t="s">
        <v>46</v>
      </c>
      <c r="F52" s="295"/>
      <c r="G52" s="297"/>
      <c r="H52" s="13">
        <f t="shared" ref="H52:H59" si="19">IF(C52="","",IF(C52="Entrée",H51+G52,IF(C52="Sortie",H51-G52)))</f>
        <v>0</v>
      </c>
      <c r="I52" s="23"/>
      <c r="J52" s="24"/>
      <c r="K52" s="25" t="str">
        <f t="shared" si="17"/>
        <v/>
      </c>
      <c r="N52" s="66"/>
      <c r="O52" s="13">
        <f t="shared" ref="O52:O59" si="20">IF(C52="","",IF(C52="Entrée",O51+N52,IF(C52="Sortie",O51-N52)))</f>
        <v>0</v>
      </c>
      <c r="P52" s="23"/>
      <c r="Q52" s="24"/>
      <c r="R52" s="25" t="str">
        <f t="shared" si="18"/>
        <v/>
      </c>
      <c r="S52" s="271"/>
    </row>
    <row r="53" spans="2:19" ht="12.75" customHeight="1" outlineLevel="1" x14ac:dyDescent="0.25">
      <c r="B53" s="177"/>
      <c r="C53" s="12"/>
      <c r="D53" s="243"/>
      <c r="E53" s="244"/>
      <c r="F53" s="245"/>
      <c r="G53" s="66"/>
      <c r="H53" s="13" t="str">
        <f t="shared" si="19"/>
        <v/>
      </c>
      <c r="I53" s="23"/>
      <c r="J53" s="24"/>
      <c r="K53" s="25" t="str">
        <f t="shared" si="17"/>
        <v/>
      </c>
      <c r="N53" s="59"/>
      <c r="O53" s="13" t="str">
        <f t="shared" si="20"/>
        <v/>
      </c>
      <c r="P53" s="23"/>
      <c r="Q53" s="24"/>
      <c r="R53" s="25" t="str">
        <f t="shared" si="18"/>
        <v/>
      </c>
      <c r="S53" s="271"/>
    </row>
    <row r="54" spans="2:19" ht="12.75" customHeight="1" outlineLevel="1" x14ac:dyDescent="0.25">
      <c r="B54" s="177"/>
      <c r="C54" s="12"/>
      <c r="D54" s="243"/>
      <c r="E54" s="244"/>
      <c r="F54" s="245"/>
      <c r="G54" s="66"/>
      <c r="H54" s="13" t="str">
        <f t="shared" si="19"/>
        <v/>
      </c>
      <c r="I54" s="23"/>
      <c r="J54" s="24"/>
      <c r="K54" s="25" t="str">
        <f t="shared" si="17"/>
        <v/>
      </c>
      <c r="N54" s="66"/>
      <c r="O54" s="13" t="str">
        <f t="shared" si="20"/>
        <v/>
      </c>
      <c r="P54" s="23"/>
      <c r="Q54" s="24"/>
      <c r="R54" s="25" t="str">
        <f t="shared" si="18"/>
        <v/>
      </c>
      <c r="S54" s="271"/>
    </row>
    <row r="55" spans="2:19" ht="12.75" customHeight="1" outlineLevel="1" x14ac:dyDescent="0.25">
      <c r="B55" s="177"/>
      <c r="C55" s="12"/>
      <c r="D55" s="243"/>
      <c r="E55" s="244"/>
      <c r="F55" s="245"/>
      <c r="G55" s="66"/>
      <c r="H55" s="13" t="str">
        <f t="shared" si="19"/>
        <v/>
      </c>
      <c r="I55" s="23"/>
      <c r="J55" s="24"/>
      <c r="K55" s="25" t="str">
        <f t="shared" si="17"/>
        <v/>
      </c>
      <c r="N55" s="66"/>
      <c r="O55" s="13" t="str">
        <f t="shared" si="20"/>
        <v/>
      </c>
      <c r="P55" s="23"/>
      <c r="Q55" s="24"/>
      <c r="R55" s="25" t="str">
        <f t="shared" si="18"/>
        <v/>
      </c>
      <c r="S55" s="271"/>
    </row>
    <row r="56" spans="2:19" ht="12.75" customHeight="1" outlineLevel="1" x14ac:dyDescent="0.25">
      <c r="B56" s="177"/>
      <c r="C56" s="12"/>
      <c r="D56" s="243"/>
      <c r="E56" s="244"/>
      <c r="F56" s="52"/>
      <c r="G56" s="66"/>
      <c r="H56" s="13" t="str">
        <f t="shared" si="19"/>
        <v/>
      </c>
      <c r="I56" s="23"/>
      <c r="J56" s="24"/>
      <c r="K56" s="25" t="str">
        <f t="shared" si="17"/>
        <v/>
      </c>
      <c r="N56" s="59"/>
      <c r="O56" s="13" t="str">
        <f t="shared" si="20"/>
        <v/>
      </c>
      <c r="P56" s="23"/>
      <c r="Q56" s="24"/>
      <c r="R56" s="25" t="str">
        <f t="shared" si="18"/>
        <v/>
      </c>
      <c r="S56" s="271"/>
    </row>
    <row r="57" spans="2:19" ht="12.75" customHeight="1" outlineLevel="1" x14ac:dyDescent="0.25">
      <c r="B57" s="177"/>
      <c r="C57" s="12"/>
      <c r="D57" s="243"/>
      <c r="E57" s="244"/>
      <c r="F57" s="245"/>
      <c r="G57" s="66"/>
      <c r="H57" s="13" t="str">
        <f t="shared" si="19"/>
        <v/>
      </c>
      <c r="I57" s="23"/>
      <c r="J57" s="24"/>
      <c r="K57" s="25" t="str">
        <f t="shared" si="17"/>
        <v/>
      </c>
      <c r="N57" s="66"/>
      <c r="O57" s="13" t="str">
        <f t="shared" si="20"/>
        <v/>
      </c>
      <c r="P57" s="23"/>
      <c r="Q57" s="24"/>
      <c r="R57" s="25" t="str">
        <f t="shared" si="18"/>
        <v/>
      </c>
      <c r="S57" s="271"/>
    </row>
    <row r="58" spans="2:19" ht="12.75" customHeight="1" outlineLevel="1" x14ac:dyDescent="0.25">
      <c r="B58" s="177"/>
      <c r="C58" s="12"/>
      <c r="D58" s="262"/>
      <c r="E58" s="244"/>
      <c r="F58" s="52"/>
      <c r="G58" s="66"/>
      <c r="H58" s="13" t="str">
        <f t="shared" si="19"/>
        <v/>
      </c>
      <c r="I58" s="23"/>
      <c r="J58" s="24"/>
      <c r="K58" s="25" t="str">
        <f t="shared" si="17"/>
        <v/>
      </c>
      <c r="N58" s="66"/>
      <c r="O58" s="13" t="str">
        <f t="shared" si="20"/>
        <v/>
      </c>
      <c r="P58" s="23"/>
      <c r="Q58" s="24"/>
      <c r="R58" s="25" t="str">
        <f t="shared" si="18"/>
        <v/>
      </c>
      <c r="S58" s="271"/>
    </row>
    <row r="59" spans="2:19" ht="12.75" customHeight="1" outlineLevel="1" x14ac:dyDescent="0.25">
      <c r="B59" s="22"/>
      <c r="C59" s="12"/>
      <c r="D59" s="5"/>
      <c r="E59" s="244"/>
      <c r="F59" s="41"/>
      <c r="G59" s="59"/>
      <c r="H59" s="13" t="str">
        <f t="shared" si="19"/>
        <v/>
      </c>
      <c r="I59" s="23"/>
      <c r="J59" s="24"/>
      <c r="K59" s="25" t="str">
        <f t="shared" si="17"/>
        <v/>
      </c>
      <c r="N59" s="59"/>
      <c r="O59" s="13" t="str">
        <f t="shared" si="20"/>
        <v/>
      </c>
      <c r="P59" s="23"/>
      <c r="Q59" s="24"/>
      <c r="R59" s="25" t="str">
        <f t="shared" si="18"/>
        <v/>
      </c>
      <c r="S59" s="271"/>
    </row>
    <row r="60" spans="2:19" ht="12.75" customHeight="1" outlineLevel="1" x14ac:dyDescent="0.25">
      <c r="B60" s="26"/>
      <c r="C60" s="27"/>
      <c r="D60" s="28"/>
      <c r="E60" s="39"/>
      <c r="F60" s="43"/>
      <c r="G60" s="60"/>
      <c r="H60" s="29" t="str">
        <f t="shared" ref="H60" si="21">IF(C60="","",IF(C60="Entrée",H59+G60,IF(C60="Sortie",H59-G60)))</f>
        <v/>
      </c>
      <c r="I60" s="30"/>
      <c r="J60" s="31"/>
      <c r="K60" s="25" t="str">
        <f t="shared" si="17"/>
        <v/>
      </c>
      <c r="N60" s="60"/>
      <c r="O60" s="29" t="str">
        <f t="shared" ref="O60" si="22">IF(C60="","",IF(C60="Entrée",O59+N60,IF(C60="Sortie",O59-N60)))</f>
        <v/>
      </c>
      <c r="P60" s="30"/>
      <c r="Q60" s="31"/>
      <c r="R60" s="32" t="str">
        <f t="shared" si="18"/>
        <v/>
      </c>
      <c r="S60" s="271"/>
    </row>
    <row r="61" spans="2:19" ht="6.6" customHeight="1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N61" s="6"/>
      <c r="O61" s="6"/>
      <c r="P61" s="6"/>
      <c r="Q61" s="6"/>
      <c r="R61" s="6"/>
      <c r="S61" s="271"/>
    </row>
    <row r="62" spans="2:19" ht="26.1" customHeight="1" x14ac:dyDescent="0.25">
      <c r="B62" s="6"/>
      <c r="C62" s="6"/>
      <c r="D62" s="6"/>
      <c r="E62" s="6"/>
      <c r="F62" s="191" t="s">
        <v>74</v>
      </c>
      <c r="G62" s="33">
        <f>SUMIF(C50:C60,"Entrée",G50:G60)</f>
        <v>0</v>
      </c>
      <c r="H62" s="6"/>
      <c r="I62" s="6"/>
      <c r="J62" s="6"/>
      <c r="K62" s="6"/>
      <c r="L62" s="6"/>
      <c r="O62" s="15"/>
      <c r="P62" s="61"/>
      <c r="Q62" s="266" t="s">
        <v>76</v>
      </c>
      <c r="R62" s="33">
        <f>SUMIF(C50:C60,"Entrée",N50:N60)</f>
        <v>0</v>
      </c>
      <c r="S62" s="270"/>
    </row>
    <row r="63" spans="2:19" ht="26.1" customHeight="1" x14ac:dyDescent="0.25">
      <c r="B63" s="6"/>
      <c r="C63" s="6"/>
      <c r="E63" s="6"/>
      <c r="F63" s="191" t="s">
        <v>75</v>
      </c>
      <c r="G63" s="33">
        <f>SUMIF(C50:C60,"Sortie",G50:G60)</f>
        <v>0</v>
      </c>
      <c r="H63" s="6"/>
      <c r="I63" s="6"/>
      <c r="J63" s="6"/>
      <c r="K63" s="6"/>
      <c r="L63" s="6"/>
      <c r="O63" s="15"/>
      <c r="P63" s="61"/>
      <c r="Q63" s="266" t="s">
        <v>77</v>
      </c>
      <c r="R63" s="33">
        <f>SUMIF(C50:C60,"Sortie",N50:N60)</f>
        <v>0</v>
      </c>
      <c r="S63" s="270"/>
    </row>
    <row r="64" spans="2:19" ht="12.75" customHeight="1" x14ac:dyDescent="0.25">
      <c r="B64" s="85"/>
      <c r="J64" s="1"/>
      <c r="K64" s="1"/>
      <c r="Q64" s="1"/>
      <c r="R64" s="1"/>
    </row>
    <row r="65" spans="10:18" ht="12.75" customHeight="1" x14ac:dyDescent="0.25">
      <c r="J65" s="1"/>
      <c r="K65" s="1"/>
      <c r="Q65" s="1"/>
      <c r="R65" s="1"/>
    </row>
    <row r="66" spans="10:18" ht="12.75" customHeight="1" x14ac:dyDescent="0.25">
      <c r="J66" s="1"/>
      <c r="K66" s="1"/>
      <c r="Q66" s="1"/>
      <c r="R66" s="1"/>
    </row>
    <row r="67" spans="10:18" ht="12.75" customHeight="1" x14ac:dyDescent="0.25">
      <c r="J67" s="1"/>
      <c r="K67" s="1"/>
      <c r="Q67" s="1"/>
      <c r="R67" s="1"/>
    </row>
    <row r="68" spans="10:18" ht="12.75" customHeight="1" x14ac:dyDescent="0.25">
      <c r="J68" s="1"/>
      <c r="K68" s="1"/>
      <c r="Q68" s="1"/>
      <c r="R68" s="1"/>
    </row>
    <row r="69" spans="10:18" ht="12.75" customHeight="1" x14ac:dyDescent="0.25">
      <c r="J69" s="1"/>
      <c r="K69" s="1"/>
      <c r="Q69" s="1"/>
      <c r="R69" s="1"/>
    </row>
    <row r="70" spans="10:18" ht="12.75" customHeight="1" x14ac:dyDescent="0.25">
      <c r="J70" s="1"/>
      <c r="K70" s="1"/>
      <c r="Q70" s="1"/>
      <c r="R70" s="1"/>
    </row>
    <row r="71" spans="10:18" ht="12.75" customHeight="1" x14ac:dyDescent="0.25">
      <c r="J71" s="1"/>
      <c r="K71" s="1"/>
      <c r="Q71" s="1"/>
      <c r="R71" s="1"/>
    </row>
    <row r="72" spans="10:18" ht="12.75" customHeight="1" x14ac:dyDescent="0.25">
      <c r="J72" s="1"/>
      <c r="K72" s="1"/>
      <c r="Q72" s="1"/>
      <c r="R72" s="1"/>
    </row>
    <row r="73" spans="10:18" ht="12.75" customHeight="1" x14ac:dyDescent="0.25">
      <c r="J73" s="1"/>
      <c r="K73" s="1"/>
      <c r="Q73" s="1"/>
      <c r="R73" s="1"/>
    </row>
    <row r="74" spans="10:18" ht="12.75" customHeight="1" x14ac:dyDescent="0.25">
      <c r="J74" s="1"/>
      <c r="K74" s="1"/>
      <c r="Q74" s="1"/>
      <c r="R74" s="1"/>
    </row>
    <row r="75" spans="10:18" ht="12.75" customHeight="1" x14ac:dyDescent="0.25">
      <c r="J75" s="1"/>
      <c r="K75" s="1"/>
      <c r="Q75" s="1"/>
      <c r="R75" s="1"/>
    </row>
    <row r="76" spans="10:18" ht="12.75" customHeight="1" x14ac:dyDescent="0.25">
      <c r="J76" s="1"/>
      <c r="K76" s="1"/>
      <c r="Q76" s="1"/>
      <c r="R76" s="1"/>
    </row>
    <row r="77" spans="10:18" ht="12.75" customHeight="1" x14ac:dyDescent="0.25">
      <c r="J77" s="1"/>
      <c r="K77" s="1"/>
      <c r="Q77" s="1"/>
      <c r="R77" s="1"/>
    </row>
    <row r="78" spans="10:18" ht="12.75" customHeight="1" x14ac:dyDescent="0.25">
      <c r="J78" s="1"/>
      <c r="K78" s="1"/>
      <c r="Q78" s="1"/>
      <c r="R78" s="1"/>
    </row>
    <row r="79" spans="10:18" ht="12.75" customHeight="1" x14ac:dyDescent="0.25">
      <c r="J79" s="1"/>
      <c r="K79" s="1"/>
      <c r="Q79" s="1"/>
      <c r="R79" s="1"/>
    </row>
    <row r="80" spans="10:18" ht="12.75" customHeight="1" x14ac:dyDescent="0.25">
      <c r="J80" s="1"/>
      <c r="K80" s="1"/>
      <c r="Q80" s="1"/>
      <c r="R80" s="1"/>
    </row>
    <row r="81" spans="10:18" ht="12.75" customHeight="1" x14ac:dyDescent="0.25">
      <c r="J81" s="1"/>
      <c r="K81" s="1"/>
      <c r="Q81" s="1"/>
      <c r="R81" s="1"/>
    </row>
    <row r="82" spans="10:18" ht="12.75" customHeight="1" x14ac:dyDescent="0.25">
      <c r="J82" s="1"/>
      <c r="K82" s="1"/>
      <c r="Q82" s="1"/>
      <c r="R82" s="1"/>
    </row>
    <row r="83" spans="10:18" ht="12.75" customHeight="1" x14ac:dyDescent="0.25">
      <c r="J83" s="1"/>
      <c r="K83" s="1"/>
      <c r="Q83" s="1"/>
      <c r="R83" s="1"/>
    </row>
    <row r="84" spans="10:18" ht="12.75" customHeight="1" x14ac:dyDescent="0.25">
      <c r="J84" s="1"/>
      <c r="K84" s="1"/>
      <c r="Q84" s="1"/>
      <c r="R84" s="1"/>
    </row>
    <row r="85" spans="10:18" ht="12.75" customHeight="1" x14ac:dyDescent="0.25">
      <c r="J85" s="1"/>
      <c r="K85" s="1"/>
      <c r="Q85" s="1"/>
      <c r="R85" s="1"/>
    </row>
    <row r="86" spans="10:18" ht="12.75" customHeight="1" x14ac:dyDescent="0.25">
      <c r="J86" s="1"/>
      <c r="K86" s="1"/>
      <c r="Q86" s="1"/>
      <c r="R86" s="1"/>
    </row>
    <row r="87" spans="10:18" ht="12.75" customHeight="1" x14ac:dyDescent="0.25">
      <c r="J87" s="1"/>
      <c r="K87" s="1"/>
      <c r="Q87" s="1"/>
      <c r="R87" s="1"/>
    </row>
    <row r="88" spans="10:18" ht="12.75" customHeight="1" x14ac:dyDescent="0.25">
      <c r="J88" s="1"/>
      <c r="K88" s="1"/>
      <c r="Q88" s="1"/>
      <c r="R88" s="1"/>
    </row>
    <row r="89" spans="10:18" ht="12.75" customHeight="1" x14ac:dyDescent="0.25">
      <c r="J89" s="1"/>
      <c r="K89" s="1"/>
      <c r="Q89" s="1"/>
      <c r="R89" s="1"/>
    </row>
    <row r="90" spans="10:18" ht="12.75" customHeight="1" x14ac:dyDescent="0.25">
      <c r="J90" s="1"/>
      <c r="K90" s="1"/>
      <c r="Q90" s="1"/>
      <c r="R90" s="1"/>
    </row>
    <row r="91" spans="10:18" ht="12.75" customHeight="1" x14ac:dyDescent="0.25">
      <c r="J91" s="1"/>
      <c r="K91" s="1"/>
      <c r="Q91" s="1"/>
      <c r="R91" s="1"/>
    </row>
    <row r="92" spans="10:18" ht="12.75" customHeight="1" x14ac:dyDescent="0.25">
      <c r="J92" s="1"/>
      <c r="K92" s="1"/>
      <c r="Q92" s="1"/>
      <c r="R92" s="1"/>
    </row>
    <row r="93" spans="10:18" ht="12.75" customHeight="1" x14ac:dyDescent="0.25">
      <c r="J93" s="1"/>
      <c r="K93" s="1"/>
      <c r="Q93" s="1"/>
      <c r="R93" s="1"/>
    </row>
    <row r="94" spans="10:18" ht="12.75" customHeight="1" x14ac:dyDescent="0.25">
      <c r="J94" s="1"/>
      <c r="K94" s="1"/>
      <c r="Q94" s="1"/>
      <c r="R94" s="1"/>
    </row>
    <row r="95" spans="10:18" ht="12.75" customHeight="1" x14ac:dyDescent="0.25">
      <c r="J95" s="1"/>
      <c r="K95" s="1"/>
      <c r="Q95" s="1"/>
      <c r="R95" s="1"/>
    </row>
    <row r="96" spans="10:18" ht="12.75" customHeight="1" x14ac:dyDescent="0.25">
      <c r="J96" s="1"/>
      <c r="K96" s="1"/>
      <c r="Q96" s="1"/>
      <c r="R96" s="1"/>
    </row>
    <row r="97" spans="10:18" ht="12.75" customHeight="1" x14ac:dyDescent="0.25">
      <c r="J97" s="1"/>
      <c r="K97" s="1"/>
      <c r="Q97" s="1"/>
      <c r="R97" s="1"/>
    </row>
    <row r="98" spans="10:18" ht="12.75" customHeight="1" x14ac:dyDescent="0.25">
      <c r="J98" s="1"/>
      <c r="K98" s="1"/>
      <c r="Q98" s="1"/>
      <c r="R98" s="1"/>
    </row>
    <row r="99" spans="10:18" ht="12.75" customHeight="1" x14ac:dyDescent="0.25">
      <c r="J99" s="1"/>
      <c r="K99" s="1"/>
      <c r="Q99" s="1"/>
      <c r="R99" s="1"/>
    </row>
    <row r="100" spans="10:18" ht="12.75" customHeight="1" x14ac:dyDescent="0.25">
      <c r="J100" s="1"/>
      <c r="K100" s="1"/>
      <c r="Q100" s="1"/>
      <c r="R100" s="1"/>
    </row>
    <row r="101" spans="10:18" ht="12.75" customHeight="1" x14ac:dyDescent="0.25">
      <c r="J101" s="1"/>
      <c r="K101" s="1"/>
      <c r="Q101" s="1"/>
      <c r="R101" s="1"/>
    </row>
    <row r="102" spans="10:18" ht="12.75" customHeight="1" x14ac:dyDescent="0.25">
      <c r="J102" s="1"/>
      <c r="K102" s="1"/>
      <c r="Q102" s="1"/>
      <c r="R102" s="1"/>
    </row>
    <row r="103" spans="10:18" ht="12.75" customHeight="1" x14ac:dyDescent="0.25">
      <c r="J103" s="1"/>
      <c r="K103" s="1"/>
      <c r="Q103" s="1"/>
      <c r="R103" s="1"/>
    </row>
    <row r="104" spans="10:18" ht="12.75" customHeight="1" x14ac:dyDescent="0.25">
      <c r="J104" s="1"/>
      <c r="K104" s="1"/>
      <c r="Q104" s="1"/>
      <c r="R104" s="1"/>
    </row>
    <row r="105" spans="10:18" ht="12.75" customHeight="1" x14ac:dyDescent="0.25">
      <c r="J105" s="1"/>
      <c r="K105" s="1"/>
      <c r="Q105" s="1"/>
      <c r="R105" s="1"/>
    </row>
    <row r="106" spans="10:18" ht="12.75" customHeight="1" x14ac:dyDescent="0.25">
      <c r="J106" s="1"/>
      <c r="K106" s="1"/>
      <c r="Q106" s="1"/>
      <c r="R106" s="1"/>
    </row>
    <row r="107" spans="10:18" ht="12.75" customHeight="1" x14ac:dyDescent="0.25">
      <c r="J107" s="1"/>
      <c r="K107" s="1"/>
      <c r="Q107" s="1"/>
      <c r="R107" s="1"/>
    </row>
    <row r="108" spans="10:18" ht="12.75" customHeight="1" x14ac:dyDescent="0.25">
      <c r="J108" s="1"/>
      <c r="K108" s="1"/>
      <c r="Q108" s="1"/>
      <c r="R108" s="1"/>
    </row>
    <row r="109" spans="10:18" ht="12.75" customHeight="1" x14ac:dyDescent="0.25">
      <c r="J109" s="1"/>
      <c r="K109" s="1"/>
      <c r="Q109" s="1"/>
      <c r="R109" s="1"/>
    </row>
    <row r="110" spans="10:18" ht="12.75" customHeight="1" x14ac:dyDescent="0.25">
      <c r="J110" s="1"/>
      <c r="K110" s="1"/>
      <c r="Q110" s="1"/>
      <c r="R110" s="1"/>
    </row>
    <row r="111" spans="10:18" ht="12.75" customHeight="1" x14ac:dyDescent="0.25">
      <c r="J111" s="1"/>
      <c r="K111" s="1"/>
      <c r="Q111" s="1"/>
      <c r="R111" s="1"/>
    </row>
    <row r="112" spans="10:18" ht="12.75" customHeight="1" x14ac:dyDescent="0.25">
      <c r="J112" s="1"/>
      <c r="K112" s="1"/>
      <c r="Q112" s="1"/>
      <c r="R112" s="1"/>
    </row>
    <row r="113" spans="10:18" ht="12.75" customHeight="1" x14ac:dyDescent="0.25">
      <c r="J113" s="1"/>
      <c r="K113" s="1"/>
      <c r="Q113" s="1"/>
      <c r="R113" s="1"/>
    </row>
    <row r="114" spans="10:18" ht="12.75" customHeight="1" x14ac:dyDescent="0.25">
      <c r="J114" s="1"/>
      <c r="K114" s="1"/>
      <c r="Q114" s="1"/>
      <c r="R114" s="1"/>
    </row>
    <row r="115" spans="10:18" ht="12.75" customHeight="1" x14ac:dyDescent="0.25">
      <c r="J115" s="1"/>
      <c r="K115" s="1"/>
      <c r="Q115" s="1"/>
      <c r="R115" s="1"/>
    </row>
    <row r="116" spans="10:18" ht="12.75" customHeight="1" x14ac:dyDescent="0.25">
      <c r="J116" s="1"/>
      <c r="K116" s="1"/>
      <c r="Q116" s="1"/>
      <c r="R116" s="1"/>
    </row>
    <row r="117" spans="10:18" ht="12.75" customHeight="1" x14ac:dyDescent="0.25">
      <c r="J117" s="1"/>
      <c r="K117" s="1"/>
      <c r="Q117" s="1"/>
      <c r="R117" s="1"/>
    </row>
    <row r="118" spans="10:18" ht="12.75" customHeight="1" x14ac:dyDescent="0.25">
      <c r="J118" s="1"/>
      <c r="K118" s="1"/>
      <c r="Q118" s="1"/>
      <c r="R118" s="1"/>
    </row>
    <row r="119" spans="10:18" ht="12.75" customHeight="1" x14ac:dyDescent="0.25">
      <c r="J119" s="1"/>
      <c r="K119" s="1"/>
      <c r="Q119" s="1"/>
      <c r="R119" s="1"/>
    </row>
    <row r="120" spans="10:18" ht="12.75" customHeight="1" x14ac:dyDescent="0.25">
      <c r="J120" s="1"/>
      <c r="K120" s="1"/>
      <c r="Q120" s="1"/>
      <c r="R120" s="1"/>
    </row>
    <row r="121" spans="10:18" ht="12.75" customHeight="1" x14ac:dyDescent="0.25">
      <c r="J121" s="1"/>
      <c r="K121" s="1"/>
      <c r="Q121" s="1"/>
      <c r="R121" s="1"/>
    </row>
    <row r="122" spans="10:18" ht="12.75" customHeight="1" x14ac:dyDescent="0.25">
      <c r="J122" s="1"/>
      <c r="K122" s="1"/>
      <c r="Q122" s="1"/>
      <c r="R122" s="1"/>
    </row>
    <row r="123" spans="10:18" ht="12.75" customHeight="1" x14ac:dyDescent="0.25">
      <c r="J123" s="1"/>
      <c r="K123" s="1"/>
      <c r="Q123" s="1"/>
      <c r="R123" s="1"/>
    </row>
    <row r="124" spans="10:18" ht="12.75" customHeight="1" x14ac:dyDescent="0.25">
      <c r="J124" s="1"/>
      <c r="K124" s="1"/>
      <c r="Q124" s="1"/>
      <c r="R124" s="1"/>
    </row>
    <row r="125" spans="10:18" ht="12.75" customHeight="1" x14ac:dyDescent="0.25">
      <c r="J125" s="1"/>
      <c r="K125" s="1"/>
      <c r="Q125" s="1"/>
      <c r="R125" s="1"/>
    </row>
    <row r="126" spans="10:18" ht="12.75" customHeight="1" x14ac:dyDescent="0.25">
      <c r="J126" s="1"/>
      <c r="K126" s="1"/>
      <c r="Q126" s="1"/>
      <c r="R126" s="1"/>
    </row>
    <row r="127" spans="10:18" ht="12.75" customHeight="1" x14ac:dyDescent="0.25">
      <c r="J127" s="1"/>
      <c r="K127" s="1"/>
      <c r="Q127" s="1"/>
      <c r="R127" s="1"/>
    </row>
    <row r="128" spans="10:18" ht="12.75" customHeight="1" x14ac:dyDescent="0.25">
      <c r="J128" s="1"/>
      <c r="K128" s="1"/>
      <c r="Q128" s="1"/>
      <c r="R128" s="1"/>
    </row>
    <row r="129" spans="10:18" ht="12.75" customHeight="1" x14ac:dyDescent="0.25">
      <c r="J129" s="1"/>
      <c r="K129" s="1"/>
      <c r="Q129" s="1"/>
      <c r="R129" s="1"/>
    </row>
    <row r="130" spans="10:18" ht="12.75" customHeight="1" x14ac:dyDescent="0.25">
      <c r="J130" s="1"/>
      <c r="K130" s="1"/>
      <c r="Q130" s="1"/>
      <c r="R130" s="1"/>
    </row>
    <row r="131" spans="10:18" ht="12.75" customHeight="1" x14ac:dyDescent="0.25">
      <c r="J131" s="1"/>
      <c r="K131" s="1"/>
      <c r="Q131" s="1"/>
      <c r="R131" s="1"/>
    </row>
    <row r="132" spans="10:18" ht="12.75" customHeight="1" x14ac:dyDescent="0.25">
      <c r="J132" s="1"/>
      <c r="K132" s="1"/>
      <c r="Q132" s="1"/>
      <c r="R132" s="1"/>
    </row>
    <row r="133" spans="10:18" ht="12.75" customHeight="1" x14ac:dyDescent="0.25">
      <c r="J133" s="1"/>
      <c r="K133" s="1"/>
      <c r="Q133" s="1"/>
      <c r="R133" s="1"/>
    </row>
    <row r="134" spans="10:18" ht="12.75" customHeight="1" x14ac:dyDescent="0.25">
      <c r="J134" s="1"/>
      <c r="K134" s="1"/>
      <c r="Q134" s="1"/>
      <c r="R134" s="1"/>
    </row>
    <row r="135" spans="10:18" ht="12.75" customHeight="1" x14ac:dyDescent="0.25">
      <c r="J135" s="1"/>
      <c r="K135" s="1"/>
      <c r="Q135" s="1"/>
      <c r="R135" s="1"/>
    </row>
    <row r="136" spans="10:18" ht="12.75" customHeight="1" x14ac:dyDescent="0.25">
      <c r="J136" s="1"/>
      <c r="K136" s="1"/>
      <c r="Q136" s="1"/>
      <c r="R136" s="1"/>
    </row>
    <row r="137" spans="10:18" ht="12.75" customHeight="1" x14ac:dyDescent="0.25">
      <c r="J137" s="1"/>
      <c r="K137" s="1"/>
      <c r="Q137" s="1"/>
      <c r="R137" s="1"/>
    </row>
    <row r="138" spans="10:18" ht="12.75" customHeight="1" x14ac:dyDescent="0.25">
      <c r="J138" s="1"/>
      <c r="K138" s="1"/>
      <c r="Q138" s="1"/>
      <c r="R138" s="1"/>
    </row>
    <row r="139" spans="10:18" ht="12.75" customHeight="1" x14ac:dyDescent="0.25">
      <c r="J139" s="1"/>
      <c r="K139" s="1"/>
      <c r="Q139" s="1"/>
      <c r="R139" s="1"/>
    </row>
    <row r="140" spans="10:18" ht="12.75" customHeight="1" x14ac:dyDescent="0.25">
      <c r="J140" s="1"/>
      <c r="K140" s="1"/>
      <c r="Q140" s="1"/>
      <c r="R140" s="1"/>
    </row>
    <row r="141" spans="10:18" ht="12.75" customHeight="1" x14ac:dyDescent="0.25">
      <c r="J141" s="1"/>
      <c r="K141" s="1"/>
      <c r="Q141" s="1"/>
      <c r="R141" s="1"/>
    </row>
    <row r="142" spans="10:18" ht="12.75" customHeight="1" x14ac:dyDescent="0.25">
      <c r="J142" s="1"/>
      <c r="K142" s="1"/>
      <c r="Q142" s="1"/>
      <c r="R142" s="1"/>
    </row>
    <row r="143" spans="10:18" ht="12.75" customHeight="1" x14ac:dyDescent="0.25">
      <c r="J143" s="1"/>
      <c r="K143" s="1"/>
      <c r="Q143" s="1"/>
      <c r="R143" s="1"/>
    </row>
    <row r="144" spans="10:18" ht="12.75" customHeight="1" x14ac:dyDescent="0.25">
      <c r="J144" s="1"/>
      <c r="K144" s="1"/>
      <c r="Q144" s="1"/>
      <c r="R144" s="1"/>
    </row>
    <row r="145" spans="10:18" ht="12.75" customHeight="1" x14ac:dyDescent="0.25">
      <c r="J145" s="1"/>
      <c r="K145" s="1"/>
      <c r="Q145" s="1"/>
      <c r="R145" s="1"/>
    </row>
    <row r="146" spans="10:18" ht="12.75" customHeight="1" x14ac:dyDescent="0.25">
      <c r="J146" s="1"/>
      <c r="K146" s="1"/>
      <c r="Q146" s="1"/>
      <c r="R146" s="1"/>
    </row>
    <row r="147" spans="10:18" ht="12.75" customHeight="1" x14ac:dyDescent="0.25">
      <c r="J147" s="1"/>
      <c r="K147" s="1"/>
      <c r="Q147" s="1"/>
      <c r="R147" s="1"/>
    </row>
    <row r="148" spans="10:18" ht="12.75" customHeight="1" x14ac:dyDescent="0.25">
      <c r="J148" s="1"/>
      <c r="K148" s="1"/>
      <c r="Q148" s="1"/>
      <c r="R148" s="1"/>
    </row>
    <row r="149" spans="10:18" ht="12.75" customHeight="1" x14ac:dyDescent="0.25">
      <c r="J149" s="1"/>
      <c r="K149" s="1"/>
      <c r="Q149" s="1"/>
      <c r="R149" s="1"/>
    </row>
    <row r="150" spans="10:18" ht="12.75" customHeight="1" x14ac:dyDescent="0.25">
      <c r="J150" s="1"/>
      <c r="K150" s="1"/>
      <c r="Q150" s="1"/>
      <c r="R150" s="1"/>
    </row>
    <row r="151" spans="10:18" ht="12.75" customHeight="1" x14ac:dyDescent="0.25">
      <c r="J151" s="1"/>
      <c r="K151" s="1"/>
      <c r="Q151" s="1"/>
      <c r="R151" s="1"/>
    </row>
    <row r="152" spans="10:18" ht="12.75" customHeight="1" x14ac:dyDescent="0.25">
      <c r="J152" s="1"/>
      <c r="K152" s="1"/>
      <c r="Q152" s="1"/>
      <c r="R152" s="1"/>
    </row>
    <row r="153" spans="10:18" ht="12.75" customHeight="1" x14ac:dyDescent="0.25">
      <c r="J153" s="1"/>
      <c r="K153" s="1"/>
      <c r="Q153" s="1"/>
      <c r="R153" s="1"/>
    </row>
    <row r="154" spans="10:18" ht="12.75" customHeight="1" x14ac:dyDescent="0.25">
      <c r="J154" s="1"/>
      <c r="K154" s="1"/>
      <c r="Q154" s="1"/>
      <c r="R154" s="1"/>
    </row>
    <row r="155" spans="10:18" ht="12.75" customHeight="1" x14ac:dyDescent="0.25">
      <c r="J155" s="1"/>
      <c r="K155" s="1"/>
      <c r="Q155" s="1"/>
      <c r="R155" s="1"/>
    </row>
    <row r="156" spans="10:18" ht="12.75" customHeight="1" x14ac:dyDescent="0.25">
      <c r="J156" s="1"/>
      <c r="K156" s="1"/>
      <c r="Q156" s="1"/>
      <c r="R156" s="1"/>
    </row>
    <row r="157" spans="10:18" ht="12.75" customHeight="1" x14ac:dyDescent="0.25">
      <c r="J157" s="1"/>
      <c r="K157" s="1"/>
      <c r="Q157" s="1"/>
      <c r="R157" s="1"/>
    </row>
    <row r="158" spans="10:18" ht="12.75" customHeight="1" x14ac:dyDescent="0.25">
      <c r="J158" s="1"/>
      <c r="K158" s="1"/>
      <c r="Q158" s="1"/>
      <c r="R158" s="1"/>
    </row>
    <row r="159" spans="10:18" ht="12.75" customHeight="1" x14ac:dyDescent="0.25">
      <c r="J159" s="1"/>
      <c r="K159" s="1"/>
      <c r="Q159" s="1"/>
      <c r="R159" s="1"/>
    </row>
    <row r="160" spans="10:18" ht="12.75" customHeight="1" x14ac:dyDescent="0.25">
      <c r="J160" s="1"/>
      <c r="K160" s="1"/>
      <c r="Q160" s="1"/>
      <c r="R160" s="1"/>
    </row>
    <row r="161" spans="10:18" ht="12.75" customHeight="1" x14ac:dyDescent="0.25">
      <c r="J161" s="1"/>
      <c r="K161" s="1"/>
      <c r="Q161" s="1"/>
      <c r="R161" s="1"/>
    </row>
    <row r="162" spans="10:18" ht="12.75" customHeight="1" x14ac:dyDescent="0.25">
      <c r="J162" s="1"/>
      <c r="K162" s="1"/>
      <c r="Q162" s="1"/>
      <c r="R162" s="1"/>
    </row>
    <row r="163" spans="10:18" ht="12.75" customHeight="1" x14ac:dyDescent="0.25">
      <c r="J163" s="1"/>
      <c r="K163" s="1"/>
      <c r="Q163" s="1"/>
      <c r="R163" s="1"/>
    </row>
    <row r="164" spans="10:18" ht="12.75" customHeight="1" x14ac:dyDescent="0.25">
      <c r="J164" s="1"/>
      <c r="K164" s="1"/>
      <c r="Q164" s="1"/>
      <c r="R164" s="1"/>
    </row>
    <row r="165" spans="10:18" ht="12.75" customHeight="1" x14ac:dyDescent="0.25">
      <c r="J165" s="1"/>
      <c r="K165" s="1"/>
      <c r="Q165" s="1"/>
      <c r="R165" s="1"/>
    </row>
    <row r="166" spans="10:18" ht="12.75" customHeight="1" x14ac:dyDescent="0.25">
      <c r="J166" s="1"/>
      <c r="K166" s="1"/>
      <c r="Q166" s="1"/>
      <c r="R166" s="1"/>
    </row>
    <row r="167" spans="10:18" ht="12.75" customHeight="1" x14ac:dyDescent="0.25">
      <c r="J167" s="1"/>
      <c r="K167" s="1"/>
      <c r="Q167" s="1"/>
      <c r="R167" s="1"/>
    </row>
    <row r="168" spans="10:18" ht="12.75" customHeight="1" x14ac:dyDescent="0.25">
      <c r="J168" s="1"/>
      <c r="K168" s="1"/>
      <c r="Q168" s="1"/>
      <c r="R168" s="1"/>
    </row>
    <row r="169" spans="10:18" ht="12.75" customHeight="1" x14ac:dyDescent="0.25">
      <c r="J169" s="1"/>
      <c r="K169" s="1"/>
      <c r="Q169" s="1"/>
      <c r="R169" s="1"/>
    </row>
    <row r="170" spans="10:18" ht="12.75" customHeight="1" x14ac:dyDescent="0.25">
      <c r="J170" s="1"/>
      <c r="K170" s="1"/>
      <c r="Q170" s="1"/>
      <c r="R170" s="1"/>
    </row>
    <row r="171" spans="10:18" ht="12.75" customHeight="1" x14ac:dyDescent="0.25">
      <c r="J171" s="1"/>
      <c r="K171" s="1"/>
      <c r="Q171" s="1"/>
      <c r="R171" s="1"/>
    </row>
    <row r="172" spans="10:18" ht="12.75" customHeight="1" x14ac:dyDescent="0.25">
      <c r="J172" s="1"/>
      <c r="K172" s="1"/>
      <c r="Q172" s="1"/>
      <c r="R172" s="1"/>
    </row>
    <row r="173" spans="10:18" ht="12.75" customHeight="1" x14ac:dyDescent="0.25">
      <c r="J173" s="1"/>
      <c r="K173" s="1"/>
      <c r="Q173" s="1"/>
      <c r="R173" s="1"/>
    </row>
    <row r="174" spans="10:18" ht="12.75" customHeight="1" x14ac:dyDescent="0.25">
      <c r="J174" s="1"/>
      <c r="K174" s="1"/>
      <c r="Q174" s="1"/>
      <c r="R174" s="1"/>
    </row>
    <row r="175" spans="10:18" ht="12.75" customHeight="1" x14ac:dyDescent="0.25">
      <c r="J175" s="1"/>
      <c r="K175" s="1"/>
      <c r="Q175" s="1"/>
      <c r="R175" s="1"/>
    </row>
    <row r="176" spans="10:18" ht="12.75" customHeight="1" x14ac:dyDescent="0.25">
      <c r="J176" s="1"/>
      <c r="K176" s="1"/>
      <c r="Q176" s="1"/>
      <c r="R176" s="1"/>
    </row>
    <row r="177" spans="10:18" ht="12.75" customHeight="1" x14ac:dyDescent="0.25">
      <c r="J177" s="1"/>
      <c r="K177" s="1"/>
      <c r="Q177" s="1"/>
      <c r="R177" s="1"/>
    </row>
    <row r="178" spans="10:18" ht="12.75" customHeight="1" x14ac:dyDescent="0.25">
      <c r="J178" s="1"/>
      <c r="K178" s="1"/>
      <c r="Q178" s="1"/>
      <c r="R178" s="1"/>
    </row>
    <row r="179" spans="10:18" ht="12.75" customHeight="1" x14ac:dyDescent="0.25">
      <c r="J179" s="1"/>
      <c r="K179" s="1"/>
      <c r="Q179" s="1"/>
      <c r="R179" s="1"/>
    </row>
    <row r="180" spans="10:18" ht="12.75" customHeight="1" x14ac:dyDescent="0.25">
      <c r="J180" s="1"/>
      <c r="K180" s="1"/>
      <c r="Q180" s="1"/>
      <c r="R180" s="1"/>
    </row>
    <row r="181" spans="10:18" ht="12.75" customHeight="1" x14ac:dyDescent="0.25">
      <c r="J181" s="1"/>
      <c r="K181" s="1"/>
      <c r="Q181" s="1"/>
      <c r="R181" s="1"/>
    </row>
    <row r="182" spans="10:18" ht="12.75" customHeight="1" x14ac:dyDescent="0.25">
      <c r="J182" s="1"/>
      <c r="K182" s="1"/>
      <c r="Q182" s="1"/>
      <c r="R182" s="1"/>
    </row>
    <row r="183" spans="10:18" ht="12.75" customHeight="1" x14ac:dyDescent="0.25">
      <c r="J183" s="1"/>
      <c r="K183" s="1"/>
      <c r="Q183" s="1"/>
      <c r="R183" s="1"/>
    </row>
    <row r="184" spans="10:18" ht="12.75" customHeight="1" x14ac:dyDescent="0.25">
      <c r="J184" s="1"/>
      <c r="K184" s="1"/>
      <c r="Q184" s="1"/>
      <c r="R184" s="1"/>
    </row>
    <row r="185" spans="10:18" ht="12.75" customHeight="1" x14ac:dyDescent="0.25">
      <c r="J185" s="1"/>
      <c r="K185" s="1"/>
      <c r="Q185" s="1"/>
      <c r="R185" s="1"/>
    </row>
    <row r="186" spans="10:18" ht="12.75" customHeight="1" x14ac:dyDescent="0.25">
      <c r="J186" s="1"/>
      <c r="K186" s="1"/>
      <c r="Q186" s="1"/>
      <c r="R186" s="1"/>
    </row>
    <row r="187" spans="10:18" ht="12.75" customHeight="1" x14ac:dyDescent="0.25">
      <c r="J187" s="1"/>
      <c r="K187" s="1"/>
      <c r="Q187" s="1"/>
      <c r="R187" s="1"/>
    </row>
    <row r="188" spans="10:18" ht="12.75" customHeight="1" x14ac:dyDescent="0.25">
      <c r="J188" s="1"/>
      <c r="K188" s="1"/>
      <c r="Q188" s="1"/>
      <c r="R188" s="1"/>
    </row>
    <row r="189" spans="10:18" ht="12.75" customHeight="1" x14ac:dyDescent="0.25">
      <c r="J189" s="1"/>
      <c r="K189" s="1"/>
      <c r="Q189" s="1"/>
      <c r="R189" s="1"/>
    </row>
    <row r="190" spans="10:18" ht="12.75" customHeight="1" x14ac:dyDescent="0.25">
      <c r="J190" s="1"/>
      <c r="K190" s="1"/>
      <c r="Q190" s="1"/>
      <c r="R190" s="1"/>
    </row>
    <row r="191" spans="10:18" ht="12.75" customHeight="1" x14ac:dyDescent="0.25">
      <c r="J191" s="1"/>
      <c r="K191" s="1"/>
      <c r="Q191" s="1"/>
      <c r="R191" s="1"/>
    </row>
    <row r="192" spans="10:18" ht="12.75" customHeight="1" x14ac:dyDescent="0.25">
      <c r="J192" s="1"/>
      <c r="K192" s="1"/>
      <c r="Q192" s="1"/>
      <c r="R192" s="1"/>
    </row>
    <row r="193" spans="10:18" ht="12.75" customHeight="1" x14ac:dyDescent="0.25">
      <c r="J193" s="1"/>
      <c r="K193" s="1"/>
      <c r="Q193" s="1"/>
      <c r="R193" s="1"/>
    </row>
    <row r="194" spans="10:18" ht="12.75" customHeight="1" x14ac:dyDescent="0.25">
      <c r="J194" s="1"/>
      <c r="K194" s="1"/>
      <c r="Q194" s="1"/>
      <c r="R194" s="1"/>
    </row>
    <row r="195" spans="10:18" ht="12.75" customHeight="1" x14ac:dyDescent="0.25">
      <c r="J195" s="1"/>
      <c r="K195" s="1"/>
      <c r="Q195" s="1"/>
      <c r="R195" s="1"/>
    </row>
    <row r="196" spans="10:18" ht="12.75" customHeight="1" x14ac:dyDescent="0.25">
      <c r="J196" s="1"/>
      <c r="K196" s="1"/>
      <c r="Q196" s="1"/>
      <c r="R196" s="1"/>
    </row>
    <row r="197" spans="10:18" ht="12.75" customHeight="1" x14ac:dyDescent="0.25">
      <c r="J197" s="1"/>
      <c r="K197" s="1"/>
      <c r="Q197" s="1"/>
      <c r="R197" s="1"/>
    </row>
    <row r="198" spans="10:18" ht="12.75" customHeight="1" x14ac:dyDescent="0.25">
      <c r="J198" s="1"/>
      <c r="K198" s="1"/>
      <c r="Q198" s="1"/>
      <c r="R198" s="1"/>
    </row>
    <row r="199" spans="10:18" ht="12.75" customHeight="1" x14ac:dyDescent="0.25">
      <c r="J199" s="1"/>
      <c r="K199" s="1"/>
      <c r="Q199" s="1"/>
      <c r="R199" s="1"/>
    </row>
    <row r="200" spans="10:18" ht="12.75" customHeight="1" x14ac:dyDescent="0.25">
      <c r="J200" s="1"/>
      <c r="K200" s="1"/>
      <c r="Q200" s="1"/>
      <c r="R200" s="1"/>
    </row>
    <row r="201" spans="10:18" ht="12.75" customHeight="1" x14ac:dyDescent="0.25">
      <c r="J201" s="1"/>
      <c r="K201" s="1"/>
      <c r="Q201" s="1"/>
      <c r="R201" s="1"/>
    </row>
    <row r="202" spans="10:18" ht="12.75" customHeight="1" x14ac:dyDescent="0.25">
      <c r="J202" s="1"/>
      <c r="K202" s="1"/>
      <c r="Q202" s="1"/>
      <c r="R202" s="1"/>
    </row>
    <row r="203" spans="10:18" ht="12.75" customHeight="1" x14ac:dyDescent="0.25">
      <c r="J203" s="1"/>
      <c r="K203" s="1"/>
      <c r="Q203" s="1"/>
      <c r="R203" s="1"/>
    </row>
    <row r="204" spans="10:18" ht="12.75" customHeight="1" x14ac:dyDescent="0.25">
      <c r="J204" s="1"/>
      <c r="K204" s="1"/>
      <c r="Q204" s="1"/>
      <c r="R204" s="1"/>
    </row>
    <row r="205" spans="10:18" ht="12.75" customHeight="1" x14ac:dyDescent="0.25">
      <c r="J205" s="1"/>
      <c r="K205" s="1"/>
      <c r="Q205" s="1"/>
      <c r="R205" s="1"/>
    </row>
    <row r="206" spans="10:18" ht="12.75" customHeight="1" x14ac:dyDescent="0.25">
      <c r="J206" s="1"/>
      <c r="K206" s="1"/>
      <c r="Q206" s="1"/>
      <c r="R206" s="1"/>
    </row>
    <row r="207" spans="10:18" ht="12.75" customHeight="1" x14ac:dyDescent="0.25">
      <c r="J207" s="1"/>
      <c r="K207" s="1"/>
      <c r="Q207" s="1"/>
      <c r="R207" s="1"/>
    </row>
    <row r="208" spans="10:18" ht="12.75" customHeight="1" x14ac:dyDescent="0.25">
      <c r="J208" s="1"/>
      <c r="K208" s="1"/>
      <c r="Q208" s="1"/>
      <c r="R208" s="1"/>
    </row>
    <row r="209" spans="10:18" ht="12.75" customHeight="1" x14ac:dyDescent="0.25">
      <c r="J209" s="1"/>
      <c r="K209" s="1"/>
      <c r="Q209" s="1"/>
      <c r="R209" s="1"/>
    </row>
    <row r="210" spans="10:18" ht="12.75" customHeight="1" x14ac:dyDescent="0.25">
      <c r="J210" s="1"/>
      <c r="K210" s="1"/>
      <c r="Q210" s="1"/>
      <c r="R210" s="1"/>
    </row>
    <row r="211" spans="10:18" ht="12.75" customHeight="1" x14ac:dyDescent="0.25">
      <c r="J211" s="1"/>
      <c r="K211" s="1"/>
      <c r="Q211" s="1"/>
      <c r="R211" s="1"/>
    </row>
    <row r="212" spans="10:18" ht="12.75" customHeight="1" x14ac:dyDescent="0.25">
      <c r="J212" s="1"/>
      <c r="K212" s="1"/>
      <c r="Q212" s="1"/>
      <c r="R212" s="1"/>
    </row>
    <row r="213" spans="10:18" ht="12.75" customHeight="1" x14ac:dyDescent="0.25">
      <c r="J213" s="1"/>
      <c r="K213" s="1"/>
      <c r="Q213" s="1"/>
      <c r="R213" s="1"/>
    </row>
    <row r="214" spans="10:18" ht="12.75" customHeight="1" x14ac:dyDescent="0.25">
      <c r="J214" s="1"/>
      <c r="K214" s="1"/>
      <c r="Q214" s="1"/>
      <c r="R214" s="1"/>
    </row>
    <row r="215" spans="10:18" ht="12.75" customHeight="1" x14ac:dyDescent="0.25">
      <c r="J215" s="1"/>
      <c r="K215" s="1"/>
      <c r="Q215" s="1"/>
      <c r="R215" s="1"/>
    </row>
    <row r="216" spans="10:18" ht="12.75" customHeight="1" x14ac:dyDescent="0.25">
      <c r="J216" s="1"/>
      <c r="K216" s="1"/>
      <c r="Q216" s="1"/>
      <c r="R216" s="1"/>
    </row>
    <row r="217" spans="10:18" ht="12.75" customHeight="1" x14ac:dyDescent="0.25">
      <c r="J217" s="1"/>
      <c r="K217" s="1"/>
      <c r="Q217" s="1"/>
      <c r="R217" s="1"/>
    </row>
    <row r="218" spans="10:18" ht="12.75" customHeight="1" x14ac:dyDescent="0.25">
      <c r="J218" s="1"/>
      <c r="K218" s="1"/>
      <c r="Q218" s="1"/>
      <c r="R218" s="1"/>
    </row>
    <row r="219" spans="10:18" ht="12.75" customHeight="1" x14ac:dyDescent="0.25">
      <c r="J219" s="1"/>
      <c r="K219" s="1"/>
      <c r="Q219" s="1"/>
      <c r="R219" s="1"/>
    </row>
    <row r="220" spans="10:18" ht="12.75" customHeight="1" x14ac:dyDescent="0.25">
      <c r="J220" s="1"/>
      <c r="K220" s="1"/>
      <c r="Q220" s="1"/>
      <c r="R220" s="1"/>
    </row>
    <row r="221" spans="10:18" ht="12.75" customHeight="1" x14ac:dyDescent="0.25">
      <c r="J221" s="1"/>
      <c r="K221" s="1"/>
      <c r="Q221" s="1"/>
      <c r="R221" s="1"/>
    </row>
    <row r="222" spans="10:18" ht="12.75" customHeight="1" x14ac:dyDescent="0.25">
      <c r="J222" s="1"/>
      <c r="K222" s="1"/>
      <c r="Q222" s="1"/>
      <c r="R222" s="1"/>
    </row>
    <row r="223" spans="10:18" ht="12.75" customHeight="1" x14ac:dyDescent="0.25">
      <c r="J223" s="1"/>
      <c r="K223" s="1"/>
      <c r="Q223" s="1"/>
      <c r="R223" s="1"/>
    </row>
    <row r="224" spans="10:18" ht="12.75" customHeight="1" x14ac:dyDescent="0.25">
      <c r="J224" s="1"/>
      <c r="K224" s="1"/>
      <c r="Q224" s="1"/>
      <c r="R224" s="1"/>
    </row>
    <row r="225" spans="10:18" ht="12.75" customHeight="1" x14ac:dyDescent="0.25">
      <c r="J225" s="1"/>
      <c r="K225" s="1"/>
      <c r="Q225" s="1"/>
      <c r="R225" s="1"/>
    </row>
    <row r="226" spans="10:18" ht="12.75" customHeight="1" x14ac:dyDescent="0.25">
      <c r="J226" s="1"/>
      <c r="K226" s="1"/>
      <c r="Q226" s="1"/>
      <c r="R226" s="1"/>
    </row>
    <row r="227" spans="10:18" ht="12.75" customHeight="1" x14ac:dyDescent="0.25">
      <c r="J227" s="1"/>
      <c r="K227" s="1"/>
      <c r="Q227" s="1"/>
      <c r="R227" s="1"/>
    </row>
    <row r="228" spans="10:18" ht="12.75" customHeight="1" x14ac:dyDescent="0.25">
      <c r="J228" s="1"/>
      <c r="K228" s="1"/>
      <c r="Q228" s="1"/>
      <c r="R228" s="1"/>
    </row>
    <row r="229" spans="10:18" ht="12.75" customHeight="1" x14ac:dyDescent="0.25">
      <c r="J229" s="1"/>
      <c r="K229" s="1"/>
      <c r="Q229" s="1"/>
      <c r="R229" s="1"/>
    </row>
    <row r="230" spans="10:18" ht="12.75" customHeight="1" x14ac:dyDescent="0.25">
      <c r="J230" s="1"/>
      <c r="K230" s="1"/>
      <c r="Q230" s="1"/>
      <c r="R230" s="1"/>
    </row>
    <row r="231" spans="10:18" ht="12.75" customHeight="1" x14ac:dyDescent="0.25">
      <c r="J231" s="1"/>
      <c r="K231" s="1"/>
      <c r="Q231" s="1"/>
      <c r="R231" s="1"/>
    </row>
    <row r="232" spans="10:18" ht="12.75" customHeight="1" x14ac:dyDescent="0.25">
      <c r="J232" s="1"/>
      <c r="K232" s="1"/>
      <c r="Q232" s="1"/>
      <c r="R232" s="1"/>
    </row>
    <row r="233" spans="10:18" ht="12.75" customHeight="1" x14ac:dyDescent="0.25">
      <c r="J233" s="1"/>
      <c r="K233" s="1"/>
      <c r="Q233" s="1"/>
      <c r="R233" s="1"/>
    </row>
    <row r="234" spans="10:18" ht="12.75" customHeight="1" x14ac:dyDescent="0.25">
      <c r="J234" s="1"/>
      <c r="K234" s="1"/>
      <c r="Q234" s="1"/>
      <c r="R234" s="1"/>
    </row>
    <row r="235" spans="10:18" ht="12.75" customHeight="1" x14ac:dyDescent="0.25">
      <c r="J235" s="1"/>
      <c r="K235" s="1"/>
      <c r="Q235" s="1"/>
      <c r="R235" s="1"/>
    </row>
    <row r="236" spans="10:18" ht="12.75" customHeight="1" x14ac:dyDescent="0.25">
      <c r="J236" s="1"/>
      <c r="K236" s="1"/>
      <c r="Q236" s="1"/>
      <c r="R236" s="1"/>
    </row>
    <row r="237" spans="10:18" ht="12.75" customHeight="1" x14ac:dyDescent="0.25">
      <c r="J237" s="1"/>
      <c r="K237" s="1"/>
      <c r="Q237" s="1"/>
      <c r="R237" s="1"/>
    </row>
    <row r="238" spans="10:18" ht="12.75" customHeight="1" x14ac:dyDescent="0.25">
      <c r="J238" s="1"/>
      <c r="K238" s="1"/>
      <c r="Q238" s="1"/>
      <c r="R238" s="1"/>
    </row>
    <row r="239" spans="10:18" ht="12.75" customHeight="1" x14ac:dyDescent="0.25">
      <c r="J239" s="1"/>
      <c r="K239" s="1"/>
      <c r="Q239" s="1"/>
      <c r="R239" s="1"/>
    </row>
    <row r="240" spans="10:18" ht="12.75" customHeight="1" x14ac:dyDescent="0.25">
      <c r="J240" s="1"/>
      <c r="K240" s="1"/>
      <c r="Q240" s="1"/>
      <c r="R240" s="1"/>
    </row>
    <row r="241" spans="10:18" ht="12.75" customHeight="1" x14ac:dyDescent="0.25">
      <c r="J241" s="1"/>
      <c r="K241" s="1"/>
      <c r="Q241" s="1"/>
      <c r="R241" s="1"/>
    </row>
    <row r="242" spans="10:18" ht="12.75" customHeight="1" x14ac:dyDescent="0.25">
      <c r="J242" s="1"/>
      <c r="K242" s="1"/>
      <c r="Q242" s="1"/>
      <c r="R242" s="1"/>
    </row>
    <row r="243" spans="10:18" ht="12.75" customHeight="1" x14ac:dyDescent="0.25">
      <c r="J243" s="1"/>
      <c r="K243" s="1"/>
      <c r="Q243" s="1"/>
      <c r="R243" s="1"/>
    </row>
    <row r="244" spans="10:18" ht="12.75" customHeight="1" x14ac:dyDescent="0.25">
      <c r="J244" s="1"/>
      <c r="K244" s="1"/>
      <c r="Q244" s="1"/>
      <c r="R244" s="1"/>
    </row>
    <row r="245" spans="10:18" ht="12.75" customHeight="1" x14ac:dyDescent="0.25">
      <c r="J245" s="1"/>
      <c r="K245" s="1"/>
      <c r="Q245" s="1"/>
      <c r="R245" s="1"/>
    </row>
    <row r="246" spans="10:18" ht="12.75" customHeight="1" x14ac:dyDescent="0.25">
      <c r="J246" s="1"/>
      <c r="K246" s="1"/>
      <c r="Q246" s="1"/>
      <c r="R246" s="1"/>
    </row>
    <row r="247" spans="10:18" ht="12.75" customHeight="1" x14ac:dyDescent="0.25">
      <c r="J247" s="1"/>
      <c r="K247" s="1"/>
      <c r="Q247" s="1"/>
      <c r="R247" s="1"/>
    </row>
    <row r="248" spans="10:18" ht="12.75" customHeight="1" x14ac:dyDescent="0.25">
      <c r="J248" s="1"/>
      <c r="K248" s="1"/>
      <c r="Q248" s="1"/>
      <c r="R248" s="1"/>
    </row>
    <row r="249" spans="10:18" ht="12.75" customHeight="1" x14ac:dyDescent="0.25">
      <c r="J249" s="1"/>
      <c r="K249" s="1"/>
      <c r="Q249" s="1"/>
      <c r="R249" s="1"/>
    </row>
    <row r="250" spans="10:18" ht="12.75" customHeight="1" x14ac:dyDescent="0.25">
      <c r="J250" s="1"/>
      <c r="K250" s="1"/>
      <c r="Q250" s="1"/>
      <c r="R250" s="1"/>
    </row>
    <row r="251" spans="10:18" ht="12.75" customHeight="1" x14ac:dyDescent="0.25">
      <c r="J251" s="1"/>
      <c r="K251" s="1"/>
      <c r="Q251" s="1"/>
      <c r="R251" s="1"/>
    </row>
    <row r="252" spans="10:18" ht="12.75" customHeight="1" x14ac:dyDescent="0.25">
      <c r="J252" s="1"/>
      <c r="K252" s="1"/>
      <c r="Q252" s="1"/>
      <c r="R252" s="1"/>
    </row>
    <row r="253" spans="10:18" ht="12.75" customHeight="1" x14ac:dyDescent="0.25">
      <c r="J253" s="1"/>
      <c r="K253" s="1"/>
      <c r="Q253" s="1"/>
      <c r="R253" s="1"/>
    </row>
    <row r="254" spans="10:18" ht="12.75" customHeight="1" x14ac:dyDescent="0.25">
      <c r="J254" s="1"/>
      <c r="K254" s="1"/>
      <c r="Q254" s="1"/>
      <c r="R254" s="1"/>
    </row>
    <row r="255" spans="10:18" ht="12.75" customHeight="1" x14ac:dyDescent="0.25">
      <c r="J255" s="1"/>
      <c r="K255" s="1"/>
      <c r="Q255" s="1"/>
      <c r="R255" s="1"/>
    </row>
    <row r="256" spans="10:18" ht="12.75" customHeight="1" x14ac:dyDescent="0.25">
      <c r="J256" s="1"/>
      <c r="K256" s="1"/>
      <c r="Q256" s="1"/>
      <c r="R256" s="1"/>
    </row>
    <row r="257" spans="10:18" ht="12.75" customHeight="1" x14ac:dyDescent="0.25">
      <c r="J257" s="1"/>
      <c r="K257" s="1"/>
      <c r="Q257" s="1"/>
      <c r="R257" s="1"/>
    </row>
    <row r="258" spans="10:18" ht="12.75" customHeight="1" x14ac:dyDescent="0.25">
      <c r="J258" s="1"/>
      <c r="K258" s="1"/>
      <c r="Q258" s="1"/>
      <c r="R258" s="1"/>
    </row>
    <row r="259" spans="10:18" ht="12.75" customHeight="1" x14ac:dyDescent="0.25">
      <c r="J259" s="1"/>
      <c r="K259" s="1"/>
      <c r="Q259" s="1"/>
      <c r="R259" s="1"/>
    </row>
    <row r="260" spans="10:18" ht="12.75" customHeight="1" x14ac:dyDescent="0.25">
      <c r="J260" s="1"/>
      <c r="K260" s="1"/>
      <c r="Q260" s="1"/>
      <c r="R260" s="1"/>
    </row>
    <row r="261" spans="10:18" ht="12.75" customHeight="1" x14ac:dyDescent="0.25">
      <c r="J261" s="1"/>
      <c r="K261" s="1"/>
      <c r="Q261" s="1"/>
      <c r="R261" s="1"/>
    </row>
    <row r="262" spans="10:18" ht="12.75" customHeight="1" x14ac:dyDescent="0.25">
      <c r="J262" s="1"/>
      <c r="K262" s="1"/>
      <c r="Q262" s="1"/>
      <c r="R262" s="1"/>
    </row>
    <row r="263" spans="10:18" ht="12.75" customHeight="1" x14ac:dyDescent="0.25">
      <c r="J263" s="1"/>
      <c r="K263" s="1"/>
      <c r="Q263" s="1"/>
      <c r="R263" s="1"/>
    </row>
    <row r="264" spans="10:18" ht="12.75" customHeight="1" x14ac:dyDescent="0.25">
      <c r="J264" s="1"/>
      <c r="K264" s="1"/>
      <c r="Q264" s="1"/>
      <c r="R264" s="1"/>
    </row>
    <row r="265" spans="10:18" ht="12.75" customHeight="1" x14ac:dyDescent="0.25">
      <c r="J265" s="1"/>
      <c r="K265" s="1"/>
      <c r="Q265" s="1"/>
      <c r="R265" s="1"/>
    </row>
    <row r="266" spans="10:18" ht="12.75" customHeight="1" x14ac:dyDescent="0.25">
      <c r="J266" s="1"/>
      <c r="K266" s="1"/>
      <c r="Q266" s="1"/>
      <c r="R266" s="1"/>
    </row>
    <row r="267" spans="10:18" ht="12.75" customHeight="1" x14ac:dyDescent="0.25">
      <c r="J267" s="1"/>
      <c r="K267" s="1"/>
      <c r="Q267" s="1"/>
      <c r="R267" s="1"/>
    </row>
    <row r="268" spans="10:18" ht="12.75" customHeight="1" x14ac:dyDescent="0.25">
      <c r="J268" s="1"/>
      <c r="K268" s="1"/>
      <c r="Q268" s="1"/>
      <c r="R268" s="1"/>
    </row>
    <row r="269" spans="10:18" ht="12.75" customHeight="1" x14ac:dyDescent="0.25">
      <c r="J269" s="1"/>
      <c r="K269" s="1"/>
      <c r="Q269" s="1"/>
      <c r="R269" s="1"/>
    </row>
    <row r="270" spans="10:18" ht="12.75" customHeight="1" x14ac:dyDescent="0.25">
      <c r="J270" s="1"/>
      <c r="K270" s="1"/>
      <c r="Q270" s="1"/>
      <c r="R270" s="1"/>
    </row>
    <row r="271" spans="10:18" ht="12.75" customHeight="1" x14ac:dyDescent="0.25">
      <c r="J271" s="1"/>
      <c r="K271" s="1"/>
      <c r="Q271" s="1"/>
      <c r="R271" s="1"/>
    </row>
    <row r="272" spans="10:18" ht="12.75" customHeight="1" x14ac:dyDescent="0.25">
      <c r="J272" s="1"/>
      <c r="K272" s="1"/>
      <c r="Q272" s="1"/>
      <c r="R272" s="1"/>
    </row>
    <row r="273" spans="10:18" ht="12.75" customHeight="1" x14ac:dyDescent="0.25">
      <c r="J273" s="1"/>
      <c r="K273" s="1"/>
      <c r="Q273" s="1"/>
      <c r="R273" s="1"/>
    </row>
    <row r="274" spans="10:18" ht="12.75" customHeight="1" x14ac:dyDescent="0.25">
      <c r="J274" s="1"/>
      <c r="K274" s="1"/>
      <c r="Q274" s="1"/>
      <c r="R274" s="1"/>
    </row>
    <row r="275" spans="10:18" ht="12.75" customHeight="1" x14ac:dyDescent="0.25">
      <c r="J275" s="1"/>
      <c r="K275" s="1"/>
      <c r="Q275" s="1"/>
      <c r="R275" s="1"/>
    </row>
    <row r="276" spans="10:18" ht="12.75" customHeight="1" x14ac:dyDescent="0.25">
      <c r="J276" s="1"/>
      <c r="K276" s="1"/>
      <c r="Q276" s="1"/>
      <c r="R276" s="1"/>
    </row>
    <row r="277" spans="10:18" ht="12.75" customHeight="1" x14ac:dyDescent="0.25">
      <c r="J277" s="1"/>
      <c r="K277" s="1"/>
      <c r="Q277" s="1"/>
      <c r="R277" s="1"/>
    </row>
    <row r="278" spans="10:18" ht="12.75" customHeight="1" x14ac:dyDescent="0.25">
      <c r="J278" s="1"/>
      <c r="K278" s="1"/>
      <c r="Q278" s="1"/>
      <c r="R278" s="1"/>
    </row>
    <row r="279" spans="10:18" ht="12.75" customHeight="1" x14ac:dyDescent="0.25">
      <c r="J279" s="1"/>
      <c r="K279" s="1"/>
      <c r="Q279" s="1"/>
      <c r="R279" s="1"/>
    </row>
    <row r="280" spans="10:18" ht="12.75" customHeight="1" x14ac:dyDescent="0.25">
      <c r="J280" s="1"/>
      <c r="K280" s="1"/>
      <c r="Q280" s="1"/>
      <c r="R280" s="1"/>
    </row>
    <row r="281" spans="10:18" ht="12.75" customHeight="1" x14ac:dyDescent="0.25">
      <c r="J281" s="1"/>
      <c r="K281" s="1"/>
      <c r="Q281" s="1"/>
      <c r="R281" s="1"/>
    </row>
    <row r="282" spans="10:18" ht="12.75" customHeight="1" x14ac:dyDescent="0.25">
      <c r="J282" s="1"/>
      <c r="K282" s="1"/>
      <c r="Q282" s="1"/>
      <c r="R282" s="1"/>
    </row>
    <row r="283" spans="10:18" ht="12.75" customHeight="1" x14ac:dyDescent="0.25">
      <c r="J283" s="1"/>
      <c r="K283" s="1"/>
      <c r="Q283" s="1"/>
      <c r="R283" s="1"/>
    </row>
    <row r="284" spans="10:18" ht="12.75" customHeight="1" x14ac:dyDescent="0.25">
      <c r="J284" s="1"/>
      <c r="K284" s="1"/>
      <c r="Q284" s="1"/>
      <c r="R284" s="1"/>
    </row>
    <row r="285" spans="10:18" ht="12.75" customHeight="1" x14ac:dyDescent="0.25">
      <c r="J285" s="1"/>
      <c r="K285" s="1"/>
      <c r="Q285" s="1"/>
      <c r="R285" s="1"/>
    </row>
    <row r="286" spans="10:18" ht="12.75" customHeight="1" x14ac:dyDescent="0.25">
      <c r="J286" s="1"/>
      <c r="K286" s="1"/>
      <c r="Q286" s="1"/>
      <c r="R286" s="1"/>
    </row>
    <row r="287" spans="10:18" ht="12.75" customHeight="1" x14ac:dyDescent="0.25">
      <c r="J287" s="1"/>
      <c r="K287" s="1"/>
      <c r="Q287" s="1"/>
      <c r="R287" s="1"/>
    </row>
    <row r="288" spans="10:18" ht="12.75" customHeight="1" x14ac:dyDescent="0.25">
      <c r="J288" s="1"/>
      <c r="K288" s="1"/>
      <c r="Q288" s="1"/>
      <c r="R288" s="1"/>
    </row>
    <row r="289" spans="10:18" ht="12.75" customHeight="1" x14ac:dyDescent="0.25">
      <c r="J289" s="1"/>
      <c r="K289" s="1"/>
      <c r="Q289" s="1"/>
      <c r="R289" s="1"/>
    </row>
    <row r="290" spans="10:18" ht="12.75" customHeight="1" x14ac:dyDescent="0.25">
      <c r="J290" s="1"/>
      <c r="K290" s="1"/>
      <c r="Q290" s="1"/>
      <c r="R290" s="1"/>
    </row>
    <row r="291" spans="10:18" ht="12.75" customHeight="1" x14ac:dyDescent="0.25">
      <c r="J291" s="1"/>
      <c r="K291" s="1"/>
      <c r="Q291" s="1"/>
      <c r="R291" s="1"/>
    </row>
    <row r="292" spans="10:18" ht="12.75" customHeight="1" x14ac:dyDescent="0.25">
      <c r="J292" s="1"/>
      <c r="K292" s="1"/>
      <c r="Q292" s="1"/>
      <c r="R292" s="1"/>
    </row>
    <row r="293" spans="10:18" ht="12.75" customHeight="1" x14ac:dyDescent="0.25">
      <c r="J293" s="1"/>
      <c r="K293" s="1"/>
      <c r="Q293" s="1"/>
      <c r="R293" s="1"/>
    </row>
    <row r="294" spans="10:18" ht="12.75" customHeight="1" x14ac:dyDescent="0.25">
      <c r="J294" s="1"/>
      <c r="K294" s="1"/>
      <c r="Q294" s="1"/>
      <c r="R294" s="1"/>
    </row>
    <row r="295" spans="10:18" ht="12.75" customHeight="1" x14ac:dyDescent="0.25">
      <c r="J295" s="1"/>
      <c r="K295" s="1"/>
      <c r="Q295" s="1"/>
      <c r="R295" s="1"/>
    </row>
    <row r="296" spans="10:18" ht="12.75" customHeight="1" x14ac:dyDescent="0.25">
      <c r="J296" s="1"/>
      <c r="K296" s="1"/>
      <c r="Q296" s="1"/>
      <c r="R296" s="1"/>
    </row>
    <row r="297" spans="10:18" ht="12.75" customHeight="1" x14ac:dyDescent="0.25">
      <c r="J297" s="1"/>
      <c r="K297" s="1"/>
      <c r="Q297" s="1"/>
      <c r="R297" s="1"/>
    </row>
    <row r="298" spans="10:18" ht="12.75" customHeight="1" x14ac:dyDescent="0.25">
      <c r="J298" s="1"/>
      <c r="K298" s="1"/>
      <c r="Q298" s="1"/>
      <c r="R298" s="1"/>
    </row>
    <row r="299" spans="10:18" ht="12.75" customHeight="1" x14ac:dyDescent="0.25">
      <c r="J299" s="1"/>
      <c r="K299" s="1"/>
      <c r="Q299" s="1"/>
      <c r="R299" s="1"/>
    </row>
    <row r="300" spans="10:18" ht="12.75" customHeight="1" x14ac:dyDescent="0.25">
      <c r="J300" s="1"/>
      <c r="K300" s="1"/>
      <c r="Q300" s="1"/>
      <c r="R300" s="1"/>
    </row>
    <row r="301" spans="10:18" ht="12.75" customHeight="1" x14ac:dyDescent="0.25">
      <c r="J301" s="1"/>
      <c r="K301" s="1"/>
      <c r="Q301" s="1"/>
      <c r="R301" s="1"/>
    </row>
    <row r="302" spans="10:18" ht="12.75" customHeight="1" x14ac:dyDescent="0.25">
      <c r="J302" s="1"/>
      <c r="K302" s="1"/>
      <c r="Q302" s="1"/>
      <c r="R302" s="1"/>
    </row>
    <row r="303" spans="10:18" ht="12.75" customHeight="1" x14ac:dyDescent="0.25">
      <c r="J303" s="1"/>
      <c r="K303" s="1"/>
      <c r="Q303" s="1"/>
      <c r="R303" s="1"/>
    </row>
    <row r="304" spans="10:18" ht="12.75" customHeight="1" x14ac:dyDescent="0.25">
      <c r="J304" s="1"/>
      <c r="K304" s="1"/>
      <c r="Q304" s="1"/>
      <c r="R304" s="1"/>
    </row>
    <row r="305" spans="10:18" ht="12.75" customHeight="1" x14ac:dyDescent="0.25">
      <c r="J305" s="1"/>
      <c r="K305" s="1"/>
      <c r="Q305" s="1"/>
      <c r="R305" s="1"/>
    </row>
    <row r="306" spans="10:18" ht="12.75" customHeight="1" x14ac:dyDescent="0.25">
      <c r="J306" s="1"/>
      <c r="K306" s="1"/>
      <c r="Q306" s="1"/>
      <c r="R306" s="1"/>
    </row>
    <row r="307" spans="10:18" ht="12.75" customHeight="1" x14ac:dyDescent="0.25">
      <c r="J307" s="1"/>
      <c r="K307" s="1"/>
      <c r="Q307" s="1"/>
      <c r="R307" s="1"/>
    </row>
    <row r="308" spans="10:18" ht="12.75" customHeight="1" x14ac:dyDescent="0.25">
      <c r="J308" s="1"/>
      <c r="K308" s="1"/>
      <c r="Q308" s="1"/>
      <c r="R308" s="1"/>
    </row>
    <row r="309" spans="10:18" ht="12.75" customHeight="1" x14ac:dyDescent="0.25">
      <c r="J309" s="1"/>
      <c r="K309" s="1"/>
      <c r="Q309" s="1"/>
      <c r="R309" s="1"/>
    </row>
    <row r="310" spans="10:18" ht="12.75" customHeight="1" x14ac:dyDescent="0.25">
      <c r="J310" s="1"/>
      <c r="K310" s="1"/>
      <c r="Q310" s="1"/>
      <c r="R310" s="1"/>
    </row>
    <row r="311" spans="10:18" ht="12.75" customHeight="1" x14ac:dyDescent="0.25">
      <c r="J311" s="1"/>
      <c r="K311" s="1"/>
      <c r="Q311" s="1"/>
      <c r="R311" s="1"/>
    </row>
    <row r="312" spans="10:18" ht="12.75" customHeight="1" x14ac:dyDescent="0.25">
      <c r="J312" s="1"/>
      <c r="K312" s="1"/>
      <c r="Q312" s="1"/>
      <c r="R312" s="1"/>
    </row>
    <row r="313" spans="10:18" ht="12.75" customHeight="1" x14ac:dyDescent="0.25">
      <c r="J313" s="1"/>
      <c r="K313" s="1"/>
      <c r="Q313" s="1"/>
      <c r="R313" s="1"/>
    </row>
    <row r="314" spans="10:18" ht="12.75" customHeight="1" x14ac:dyDescent="0.25">
      <c r="J314" s="1"/>
      <c r="K314" s="1"/>
      <c r="Q314" s="1"/>
      <c r="R314" s="1"/>
    </row>
    <row r="315" spans="10:18" ht="12.75" customHeight="1" x14ac:dyDescent="0.25">
      <c r="J315" s="1"/>
      <c r="K315" s="1"/>
      <c r="Q315" s="1"/>
      <c r="R315" s="1"/>
    </row>
    <row r="316" spans="10:18" ht="12.75" customHeight="1" x14ac:dyDescent="0.25">
      <c r="J316" s="1"/>
      <c r="K316" s="1"/>
      <c r="Q316" s="1"/>
      <c r="R316" s="1"/>
    </row>
    <row r="317" spans="10:18" ht="12.75" customHeight="1" x14ac:dyDescent="0.25">
      <c r="J317" s="1"/>
      <c r="K317" s="1"/>
      <c r="Q317" s="1"/>
      <c r="R317" s="1"/>
    </row>
    <row r="318" spans="10:18" ht="12.75" customHeight="1" x14ac:dyDescent="0.25">
      <c r="J318" s="1"/>
      <c r="K318" s="1"/>
      <c r="Q318" s="1"/>
      <c r="R318" s="1"/>
    </row>
    <row r="319" spans="10:18" ht="12.75" customHeight="1" x14ac:dyDescent="0.25">
      <c r="J319" s="1"/>
      <c r="K319" s="1"/>
      <c r="Q319" s="1"/>
      <c r="R319" s="1"/>
    </row>
    <row r="320" spans="10:18" ht="12.75" customHeight="1" x14ac:dyDescent="0.25">
      <c r="J320" s="1"/>
      <c r="K320" s="1"/>
      <c r="Q320" s="1"/>
      <c r="R320" s="1"/>
    </row>
    <row r="321" spans="10:18" ht="12.75" customHeight="1" x14ac:dyDescent="0.25">
      <c r="J321" s="1"/>
      <c r="K321" s="1"/>
      <c r="Q321" s="1"/>
      <c r="R321" s="1"/>
    </row>
    <row r="322" spans="10:18" ht="12.75" customHeight="1" x14ac:dyDescent="0.25">
      <c r="J322" s="1"/>
      <c r="K322" s="1"/>
      <c r="Q322" s="1"/>
      <c r="R322" s="1"/>
    </row>
    <row r="323" spans="10:18" ht="12.75" customHeight="1" x14ac:dyDescent="0.25">
      <c r="J323" s="1"/>
      <c r="K323" s="1"/>
      <c r="Q323" s="1"/>
      <c r="R323" s="1"/>
    </row>
    <row r="324" spans="10:18" ht="12.75" customHeight="1" x14ac:dyDescent="0.25">
      <c r="J324" s="1"/>
      <c r="K324" s="1"/>
      <c r="Q324" s="1"/>
      <c r="R324" s="1"/>
    </row>
    <row r="325" spans="10:18" ht="12.75" customHeight="1" x14ac:dyDescent="0.25">
      <c r="J325" s="1"/>
      <c r="K325" s="1"/>
      <c r="Q325" s="1"/>
      <c r="R325" s="1"/>
    </row>
    <row r="326" spans="10:18" ht="12.75" customHeight="1" x14ac:dyDescent="0.25">
      <c r="J326" s="1"/>
      <c r="K326" s="1"/>
      <c r="Q326" s="1"/>
      <c r="R326" s="1"/>
    </row>
    <row r="327" spans="10:18" ht="12.75" customHeight="1" x14ac:dyDescent="0.25">
      <c r="J327" s="1"/>
      <c r="K327" s="1"/>
      <c r="Q327" s="1"/>
      <c r="R327" s="1"/>
    </row>
    <row r="328" spans="10:18" ht="12.75" customHeight="1" x14ac:dyDescent="0.25">
      <c r="J328" s="1"/>
      <c r="K328" s="1"/>
      <c r="Q328" s="1"/>
      <c r="R328" s="1"/>
    </row>
    <row r="329" spans="10:18" ht="12.75" customHeight="1" x14ac:dyDescent="0.25">
      <c r="J329" s="1"/>
      <c r="K329" s="1"/>
      <c r="Q329" s="1"/>
      <c r="R329" s="1"/>
    </row>
    <row r="330" spans="10:18" ht="12.75" customHeight="1" x14ac:dyDescent="0.25">
      <c r="J330" s="1"/>
      <c r="K330" s="1"/>
      <c r="Q330" s="1"/>
      <c r="R330" s="1"/>
    </row>
    <row r="331" spans="10:18" ht="12.75" customHeight="1" x14ac:dyDescent="0.25">
      <c r="J331" s="1"/>
      <c r="K331" s="1"/>
      <c r="Q331" s="1"/>
      <c r="R331" s="1"/>
    </row>
    <row r="332" spans="10:18" ht="12.75" customHeight="1" x14ac:dyDescent="0.25">
      <c r="J332" s="1"/>
      <c r="K332" s="1"/>
      <c r="Q332" s="1"/>
      <c r="R332" s="1"/>
    </row>
    <row r="333" spans="10:18" ht="12.75" customHeight="1" x14ac:dyDescent="0.25">
      <c r="J333" s="1"/>
      <c r="K333" s="1"/>
      <c r="Q333" s="1"/>
      <c r="R333" s="1"/>
    </row>
    <row r="334" spans="10:18" ht="12.75" customHeight="1" x14ac:dyDescent="0.25">
      <c r="J334" s="1"/>
      <c r="K334" s="1"/>
      <c r="Q334" s="1"/>
      <c r="R334" s="1"/>
    </row>
    <row r="335" spans="10:18" ht="12.75" customHeight="1" x14ac:dyDescent="0.25">
      <c r="J335" s="1"/>
      <c r="K335" s="1"/>
      <c r="Q335" s="1"/>
      <c r="R335" s="1"/>
    </row>
    <row r="336" spans="10:18" ht="12.75" customHeight="1" x14ac:dyDescent="0.25">
      <c r="J336" s="1"/>
      <c r="K336" s="1"/>
      <c r="Q336" s="1"/>
      <c r="R336" s="1"/>
    </row>
    <row r="337" spans="10:18" ht="12.75" customHeight="1" x14ac:dyDescent="0.25">
      <c r="J337" s="1"/>
      <c r="K337" s="1"/>
      <c r="Q337" s="1"/>
      <c r="R337" s="1"/>
    </row>
    <row r="338" spans="10:18" ht="12.75" customHeight="1" x14ac:dyDescent="0.25">
      <c r="J338" s="1"/>
      <c r="K338" s="1"/>
      <c r="Q338" s="1"/>
      <c r="R338" s="1"/>
    </row>
    <row r="339" spans="10:18" ht="12.75" customHeight="1" x14ac:dyDescent="0.25">
      <c r="J339" s="1"/>
      <c r="K339" s="1"/>
      <c r="Q339" s="1"/>
      <c r="R339" s="1"/>
    </row>
    <row r="340" spans="10:18" ht="12.75" customHeight="1" x14ac:dyDescent="0.25">
      <c r="J340" s="1"/>
      <c r="K340" s="1"/>
      <c r="Q340" s="1"/>
      <c r="R340" s="1"/>
    </row>
    <row r="341" spans="10:18" ht="12.75" customHeight="1" x14ac:dyDescent="0.25">
      <c r="J341" s="1"/>
      <c r="K341" s="1"/>
      <c r="Q341" s="1"/>
      <c r="R341" s="1"/>
    </row>
    <row r="342" spans="10:18" ht="12.75" customHeight="1" x14ac:dyDescent="0.25">
      <c r="J342" s="1"/>
      <c r="K342" s="1"/>
      <c r="Q342" s="1"/>
      <c r="R342" s="1"/>
    </row>
    <row r="343" spans="10:18" ht="12.75" customHeight="1" x14ac:dyDescent="0.25">
      <c r="J343" s="1"/>
      <c r="K343" s="1"/>
      <c r="Q343" s="1"/>
      <c r="R343" s="1"/>
    </row>
    <row r="344" spans="10:18" ht="12.75" customHeight="1" x14ac:dyDescent="0.25">
      <c r="J344" s="1"/>
      <c r="K344" s="1"/>
      <c r="Q344" s="1"/>
      <c r="R344" s="1"/>
    </row>
    <row r="345" spans="10:18" ht="12.75" customHeight="1" x14ac:dyDescent="0.25">
      <c r="J345" s="1"/>
      <c r="K345" s="1"/>
      <c r="Q345" s="1"/>
      <c r="R345" s="1"/>
    </row>
    <row r="346" spans="10:18" ht="12.75" customHeight="1" x14ac:dyDescent="0.25">
      <c r="J346" s="1"/>
      <c r="K346" s="1"/>
      <c r="Q346" s="1"/>
      <c r="R346" s="1"/>
    </row>
    <row r="347" spans="10:18" ht="12.75" customHeight="1" x14ac:dyDescent="0.25">
      <c r="J347" s="1"/>
      <c r="K347" s="1"/>
      <c r="Q347" s="1"/>
      <c r="R347" s="1"/>
    </row>
    <row r="348" spans="10:18" ht="12.75" customHeight="1" x14ac:dyDescent="0.25">
      <c r="J348" s="1"/>
      <c r="K348" s="1"/>
      <c r="Q348" s="1"/>
      <c r="R348" s="1"/>
    </row>
    <row r="349" spans="10:18" ht="12.75" customHeight="1" x14ac:dyDescent="0.25">
      <c r="J349" s="1"/>
      <c r="K349" s="1"/>
      <c r="Q349" s="1"/>
      <c r="R349" s="1"/>
    </row>
    <row r="350" spans="10:18" ht="12.75" customHeight="1" x14ac:dyDescent="0.25">
      <c r="J350" s="1"/>
      <c r="K350" s="1"/>
      <c r="Q350" s="1"/>
      <c r="R350" s="1"/>
    </row>
  </sheetData>
  <mergeCells count="12">
    <mergeCell ref="G46:H46"/>
    <mergeCell ref="J46:K46"/>
    <mergeCell ref="N46:O46"/>
    <mergeCell ref="Q46:R46"/>
    <mergeCell ref="G5:H5"/>
    <mergeCell ref="J5:K5"/>
    <mergeCell ref="N5:O5"/>
    <mergeCell ref="Q5:R5"/>
    <mergeCell ref="G27:H27"/>
    <mergeCell ref="J27:K27"/>
    <mergeCell ref="N27:O27"/>
    <mergeCell ref="Q27:R27"/>
  </mergeCells>
  <conditionalFormatting sqref="K50:K60 R50:R60 R9:R20 K9:K20 K31:K40 R31:R40">
    <cfRule type="cellIs" dxfId="41" priority="18" operator="equal">
      <formula>""""""</formula>
    </cfRule>
    <cfRule type="cellIs" dxfId="40" priority="19" operator="equal">
      <formula>0</formula>
    </cfRule>
    <cfRule type="cellIs" dxfId="39" priority="20" operator="lessThan">
      <formula>0</formula>
    </cfRule>
    <cfRule type="cellIs" dxfId="38" priority="21" operator="greaterThan">
      <formula>0</formula>
    </cfRule>
  </conditionalFormatting>
  <dataValidations count="1">
    <dataValidation type="list" allowBlank="1" showInputMessage="1" showErrorMessage="1" sqref="C50:C61 C9:C21 C31:C41">
      <formula1>"Entrée,Sortie"</formula1>
    </dataValidation>
  </dataValidations>
  <hyperlinks>
    <hyperlink ref="R1" location="Accueil!A1" tooltip="Menu" display="Menu"/>
  </hyperlinks>
  <pageMargins left="0.23622047244094491" right="0.23622047244094491" top="0.74803149606299213" bottom="0.74803149606299213" header="0.31496062992125984" footer="0.31496062992125984"/>
  <pageSetup scale="79" fitToHeight="0" orientation="landscape" r:id="rId1"/>
  <headerFooter>
    <oddFooter>&amp;L&amp;F / &amp;A&amp;C&amp;P/&amp;N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theme="1" tint="0.249977111117893"/>
    <pageSetUpPr fitToPage="1"/>
  </sheetPr>
  <dimension ref="A1:U332"/>
  <sheetViews>
    <sheetView zoomScale="115" zoomScaleNormal="115" workbookViewId="0">
      <pane ySplit="3" topLeftCell="A31" activePane="bottomLeft" state="frozen"/>
      <selection activeCell="Q3" sqref="Q3:R3"/>
      <selection pane="bottomLeft" activeCell="N41" sqref="N41"/>
    </sheetView>
  </sheetViews>
  <sheetFormatPr baseColWidth="10" defaultColWidth="12.5546875" defaultRowHeight="15" customHeight="1" outlineLevelRow="1" x14ac:dyDescent="0.25"/>
  <cols>
    <col min="1" max="1" width="2.109375" customWidth="1"/>
    <col min="2" max="2" width="16" style="166" customWidth="1"/>
    <col min="3" max="3" width="8.88671875" style="10" customWidth="1"/>
    <col min="4" max="4" width="11.44140625" style="114" customWidth="1"/>
    <col min="5" max="5" width="21.44140625" customWidth="1"/>
    <col min="6" max="6" width="18.33203125" customWidth="1"/>
    <col min="7" max="7" width="13.6640625" customWidth="1"/>
    <col min="8" max="8" width="11.5546875" customWidth="1"/>
    <col min="9" max="9" width="0.88671875" customWidth="1"/>
    <col min="10" max="10" width="9.5546875" customWidth="1"/>
    <col min="11" max="11" width="7.44140625" customWidth="1"/>
    <col min="12" max="12" width="1.109375" customWidth="1"/>
    <col min="13" max="13" width="3.5546875" customWidth="1"/>
    <col min="14" max="14" width="9.5546875" customWidth="1"/>
    <col min="15" max="15" width="11.5546875" customWidth="1"/>
    <col min="16" max="16" width="0.88671875" customWidth="1"/>
    <col min="17" max="17" width="8.88671875" customWidth="1"/>
    <col min="18" max="18" width="10.33203125" customWidth="1"/>
    <col min="19" max="19" width="1.109375" customWidth="1"/>
    <col min="20" max="20" width="25.5546875" customWidth="1"/>
    <col min="21" max="27" width="10" customWidth="1"/>
  </cols>
  <sheetData>
    <row r="1" spans="2:21" ht="12.75" customHeight="1" x14ac:dyDescent="0.25">
      <c r="B1" s="165" t="s">
        <v>22</v>
      </c>
      <c r="K1" s="45" t="s">
        <v>10</v>
      </c>
      <c r="R1" s="91" t="s">
        <v>36</v>
      </c>
    </row>
    <row r="2" spans="2:21" ht="12.75" customHeight="1" x14ac:dyDescent="0.25"/>
    <row r="3" spans="2:21" ht="23.25" customHeight="1" x14ac:dyDescent="0.4">
      <c r="B3" s="86" t="s">
        <v>6</v>
      </c>
      <c r="G3" s="36" t="s">
        <v>15</v>
      </c>
      <c r="J3" s="1"/>
      <c r="K3" s="1"/>
      <c r="N3" s="36"/>
      <c r="Q3" s="195" t="s">
        <v>53</v>
      </c>
      <c r="R3" s="291" t="str">
        <f ca="1">TEXT(TODAY(),"mmmm")</f>
        <v>janvier</v>
      </c>
    </row>
    <row r="4" spans="2:21" ht="12.75" customHeight="1" x14ac:dyDescent="0.25">
      <c r="J4" s="1"/>
      <c r="K4" s="2"/>
      <c r="Q4" s="1"/>
      <c r="R4" s="2"/>
    </row>
    <row r="5" spans="2:21" ht="15.75" customHeight="1" x14ac:dyDescent="0.3">
      <c r="B5" s="167"/>
      <c r="C5" s="74"/>
      <c r="D5" s="184"/>
      <c r="E5" s="74"/>
      <c r="F5" s="75"/>
      <c r="G5" s="308" t="s">
        <v>16</v>
      </c>
      <c r="H5" s="309"/>
      <c r="I5" s="76"/>
      <c r="J5" s="310" t="s">
        <v>0</v>
      </c>
      <c r="K5" s="311"/>
      <c r="L5" s="77"/>
      <c r="M5" s="77"/>
      <c r="N5" s="308" t="s">
        <v>17</v>
      </c>
      <c r="O5" s="309"/>
      <c r="P5" s="76"/>
      <c r="Q5" s="310" t="s">
        <v>0</v>
      </c>
      <c r="R5" s="311"/>
      <c r="S5" s="267"/>
    </row>
    <row r="6" spans="2:21" ht="22.5" customHeight="1" x14ac:dyDescent="0.25">
      <c r="B6" s="113" t="s">
        <v>1</v>
      </c>
      <c r="C6" s="7" t="s">
        <v>7</v>
      </c>
      <c r="D6" s="185" t="s">
        <v>5</v>
      </c>
      <c r="E6" s="48" t="s">
        <v>14</v>
      </c>
      <c r="F6" s="93" t="s">
        <v>42</v>
      </c>
      <c r="G6" s="82" t="s">
        <v>2</v>
      </c>
      <c r="H6" s="50" t="s">
        <v>13</v>
      </c>
      <c r="I6" s="23"/>
      <c r="J6" s="81" t="s">
        <v>0</v>
      </c>
      <c r="K6" s="84" t="s">
        <v>3</v>
      </c>
      <c r="N6" s="83" t="s">
        <v>2</v>
      </c>
      <c r="O6" s="40" t="s">
        <v>13</v>
      </c>
      <c r="P6" s="23"/>
      <c r="Q6" s="81" t="s">
        <v>0</v>
      </c>
      <c r="R6" s="84" t="s">
        <v>3</v>
      </c>
      <c r="S6" s="267"/>
    </row>
    <row r="7" spans="2:21" ht="4.5" customHeight="1" x14ac:dyDescent="0.25">
      <c r="F7" s="23"/>
      <c r="G7" s="54"/>
      <c r="H7" s="23"/>
      <c r="I7" s="23"/>
      <c r="J7" s="55"/>
      <c r="K7" s="25"/>
      <c r="N7" s="54"/>
      <c r="O7" s="23"/>
      <c r="P7" s="23"/>
      <c r="Q7" s="55"/>
      <c r="R7" s="25"/>
      <c r="S7" s="267"/>
    </row>
    <row r="8" spans="2:21" ht="17.100000000000001" customHeight="1" x14ac:dyDescent="0.3">
      <c r="B8" s="49" t="s">
        <v>26</v>
      </c>
      <c r="C8" s="11"/>
      <c r="D8" s="189"/>
      <c r="E8" s="3"/>
      <c r="F8" s="3"/>
      <c r="G8" s="56"/>
      <c r="H8" s="4"/>
      <c r="I8" s="23"/>
      <c r="J8" s="4"/>
      <c r="K8" s="57"/>
      <c r="N8" s="56"/>
      <c r="O8" s="4"/>
      <c r="P8" s="23"/>
      <c r="Q8" s="4"/>
      <c r="R8" s="57"/>
      <c r="S8" s="267"/>
      <c r="T8" s="143"/>
      <c r="U8" s="143"/>
    </row>
    <row r="9" spans="2:21" ht="12.6" customHeight="1" outlineLevel="1" x14ac:dyDescent="0.25">
      <c r="B9" s="179" t="s">
        <v>82</v>
      </c>
      <c r="C9" s="16"/>
      <c r="D9" s="108"/>
      <c r="E9" s="37"/>
      <c r="F9" s="51"/>
      <c r="G9" s="58"/>
      <c r="H9" s="18"/>
      <c r="I9" s="19"/>
      <c r="J9" s="20"/>
      <c r="K9" s="21" t="str">
        <f>IF(J9="","",J9-H9)</f>
        <v/>
      </c>
      <c r="N9" s="178"/>
      <c r="O9" s="18"/>
      <c r="P9" s="19"/>
      <c r="Q9" s="20"/>
      <c r="R9" s="21" t="str">
        <f>IF(Q9="","",Q9-O9)</f>
        <v/>
      </c>
      <c r="S9" s="267"/>
    </row>
    <row r="10" spans="2:21" ht="12.75" customHeight="1" outlineLevel="1" x14ac:dyDescent="0.25">
      <c r="B10" s="177">
        <v>46024</v>
      </c>
      <c r="C10" s="292" t="s">
        <v>8</v>
      </c>
      <c r="D10" s="293"/>
      <c r="E10" s="294" t="s">
        <v>46</v>
      </c>
      <c r="F10" s="295"/>
      <c r="G10" s="296"/>
      <c r="H10" s="13">
        <f>16216+85</f>
        <v>16301</v>
      </c>
      <c r="I10" s="23"/>
      <c r="J10" s="24">
        <v>16301</v>
      </c>
      <c r="K10" s="25">
        <f t="shared" ref="K10:K21" si="0">IF(J10="","",J10-H10)</f>
        <v>0</v>
      </c>
      <c r="N10" s="296"/>
      <c r="O10" s="13">
        <v>1128</v>
      </c>
      <c r="P10" s="13">
        <f t="shared" ref="P10" si="1">O10</f>
        <v>1128</v>
      </c>
      <c r="Q10" s="300">
        <f>P10</f>
        <v>1128</v>
      </c>
      <c r="R10" s="25">
        <f t="shared" ref="R10" si="2">IF(Q10="","",Q10-O10)</f>
        <v>0</v>
      </c>
      <c r="S10" s="267"/>
    </row>
    <row r="11" spans="2:21" ht="12.75" customHeight="1" outlineLevel="1" x14ac:dyDescent="0.25">
      <c r="B11" s="177">
        <v>46025</v>
      </c>
      <c r="C11" s="292" t="s">
        <v>8</v>
      </c>
      <c r="D11" s="293"/>
      <c r="E11" s="294" t="s">
        <v>46</v>
      </c>
      <c r="F11" s="295"/>
      <c r="G11" s="296"/>
      <c r="H11" s="13">
        <f t="shared" ref="H11:H13" si="3">IF(C11="","",IF(C11="Entrée",H10+G11,IF(C11="Sortie",H10-G11)))</f>
        <v>16301</v>
      </c>
      <c r="I11" s="23"/>
      <c r="J11" s="24">
        <v>16301</v>
      </c>
      <c r="K11" s="25">
        <f t="shared" ref="K11" si="4">IF(J11="","",J11-H11)</f>
        <v>0</v>
      </c>
      <c r="N11" s="296"/>
      <c r="O11" s="13">
        <f t="shared" ref="O11:O13" si="5">IF(C11="","",IF(C11="Entrée",O10+N11,IF(C11="Sortie",O10-N11)))</f>
        <v>1128</v>
      </c>
      <c r="P11" s="13">
        <f t="shared" ref="P11" si="6">O11</f>
        <v>1128</v>
      </c>
      <c r="Q11" s="300">
        <f t="shared" ref="Q11" si="7">P11</f>
        <v>1128</v>
      </c>
      <c r="R11" s="25">
        <f>IF(Q11="","",Q11-O11)</f>
        <v>0</v>
      </c>
      <c r="S11" s="267"/>
    </row>
    <row r="12" spans="2:21" ht="12.75" customHeight="1" outlineLevel="1" x14ac:dyDescent="0.25">
      <c r="B12" s="177">
        <v>46025</v>
      </c>
      <c r="C12" s="12" t="s">
        <v>8</v>
      </c>
      <c r="D12" s="118">
        <v>110</v>
      </c>
      <c r="E12" s="244" t="s">
        <v>89</v>
      </c>
      <c r="F12" s="65"/>
      <c r="G12" s="66">
        <v>770</v>
      </c>
      <c r="H12" s="13">
        <f t="shared" si="3"/>
        <v>17071</v>
      </c>
      <c r="I12" s="23"/>
      <c r="J12" s="24"/>
      <c r="K12" s="25" t="str">
        <f t="shared" si="0"/>
        <v/>
      </c>
      <c r="N12" s="66">
        <v>70</v>
      </c>
      <c r="O12" s="13">
        <f t="shared" si="5"/>
        <v>1198</v>
      </c>
      <c r="P12" s="23"/>
      <c r="Q12" s="24"/>
      <c r="R12" s="25" t="str">
        <f t="shared" ref="R12:R22" si="8">IF(Q12="","",Q12-O12)</f>
        <v/>
      </c>
      <c r="S12" s="267"/>
    </row>
    <row r="13" spans="2:21" ht="12.75" customHeight="1" outlineLevel="1" x14ac:dyDescent="0.25">
      <c r="B13" s="177">
        <v>46026</v>
      </c>
      <c r="C13" s="292" t="s">
        <v>8</v>
      </c>
      <c r="D13" s="293"/>
      <c r="E13" s="294" t="s">
        <v>46</v>
      </c>
      <c r="F13" s="295"/>
      <c r="G13" s="296"/>
      <c r="H13" s="13">
        <f t="shared" si="3"/>
        <v>17071</v>
      </c>
      <c r="I13" s="23"/>
      <c r="J13" s="24"/>
      <c r="K13" s="25" t="str">
        <f t="shared" si="0"/>
        <v/>
      </c>
      <c r="N13" s="296"/>
      <c r="O13" s="13">
        <f t="shared" si="5"/>
        <v>1198</v>
      </c>
      <c r="P13" s="23"/>
      <c r="Q13" s="24"/>
      <c r="R13" s="25" t="str">
        <f t="shared" si="8"/>
        <v/>
      </c>
      <c r="S13" s="267"/>
    </row>
    <row r="14" spans="2:21" ht="12.75" customHeight="1" outlineLevel="1" x14ac:dyDescent="0.25">
      <c r="B14" s="177">
        <v>46027</v>
      </c>
      <c r="C14" s="292" t="s">
        <v>8</v>
      </c>
      <c r="D14" s="293"/>
      <c r="E14" s="294" t="s">
        <v>46</v>
      </c>
      <c r="F14" s="295"/>
      <c r="G14" s="296"/>
      <c r="H14" s="13">
        <f t="shared" ref="H14" si="9">IF(C14="","",IF(C14="Entrée",H13+G14,IF(C14="Sortie",H13-G14)))</f>
        <v>17071</v>
      </c>
      <c r="I14" s="23"/>
      <c r="J14" s="24">
        <f>16986+85</f>
        <v>17071</v>
      </c>
      <c r="K14" s="25">
        <f t="shared" ref="K14" si="10">IF(J14="","",J14-H14)</f>
        <v>0</v>
      </c>
      <c r="N14" s="296"/>
      <c r="O14" s="13">
        <f t="shared" ref="O14" si="11">IF(C14="","",IF(C14="Entrée",O13+N14,IF(C14="Sortie",O13-N14)))</f>
        <v>1198</v>
      </c>
      <c r="P14" s="23"/>
      <c r="Q14" s="24">
        <f>966+209+23</f>
        <v>1198</v>
      </c>
      <c r="R14" s="25">
        <f t="shared" ref="R14" si="12">IF(Q14="","",Q14-O14)</f>
        <v>0</v>
      </c>
      <c r="S14" s="267"/>
    </row>
    <row r="15" spans="2:21" ht="12.75" customHeight="1" outlineLevel="1" x14ac:dyDescent="0.25">
      <c r="B15" s="163"/>
      <c r="C15" s="12"/>
      <c r="D15" s="118"/>
      <c r="E15" s="244"/>
      <c r="F15" s="65"/>
      <c r="G15" s="66"/>
      <c r="H15" s="13"/>
      <c r="I15" s="23"/>
      <c r="J15" s="24"/>
      <c r="K15" s="25" t="str">
        <f t="shared" si="0"/>
        <v/>
      </c>
      <c r="N15" s="66"/>
      <c r="O15" s="13"/>
      <c r="P15" s="23"/>
      <c r="Q15" s="24"/>
      <c r="R15" s="25" t="str">
        <f t="shared" si="8"/>
        <v/>
      </c>
      <c r="S15" s="267"/>
    </row>
    <row r="16" spans="2:21" ht="12.75" customHeight="1" outlineLevel="1" x14ac:dyDescent="0.25">
      <c r="B16" s="163"/>
      <c r="C16" s="12"/>
      <c r="D16" s="118"/>
      <c r="E16" s="244"/>
      <c r="F16" s="65"/>
      <c r="G16" s="66"/>
      <c r="H16" s="13"/>
      <c r="I16" s="23"/>
      <c r="J16" s="24"/>
      <c r="K16" s="25" t="str">
        <f t="shared" si="0"/>
        <v/>
      </c>
      <c r="N16" s="66"/>
      <c r="O16" s="13"/>
      <c r="P16" s="23"/>
      <c r="Q16" s="24"/>
      <c r="R16" s="25" t="str">
        <f t="shared" si="8"/>
        <v/>
      </c>
      <c r="S16" s="267"/>
    </row>
    <row r="17" spans="1:21" ht="12.75" customHeight="1" outlineLevel="1" x14ac:dyDescent="0.25">
      <c r="B17" s="163"/>
      <c r="C17" s="12"/>
      <c r="D17" s="118"/>
      <c r="E17" s="244"/>
      <c r="F17" s="65"/>
      <c r="G17" s="66"/>
      <c r="H17" s="13"/>
      <c r="I17" s="23"/>
      <c r="J17" s="24"/>
      <c r="K17" s="25" t="str">
        <f t="shared" si="0"/>
        <v/>
      </c>
      <c r="N17" s="66"/>
      <c r="O17" s="13"/>
      <c r="P17" s="23"/>
      <c r="Q17" s="24"/>
      <c r="R17" s="25" t="str">
        <f t="shared" si="8"/>
        <v/>
      </c>
      <c r="S17" s="267"/>
    </row>
    <row r="18" spans="1:21" ht="12.75" customHeight="1" outlineLevel="1" x14ac:dyDescent="0.25">
      <c r="B18" s="163"/>
      <c r="C18" s="12"/>
      <c r="D18" s="118"/>
      <c r="E18" s="244"/>
      <c r="F18" s="65"/>
      <c r="G18" s="66"/>
      <c r="H18" s="13"/>
      <c r="I18" s="23"/>
      <c r="J18" s="24"/>
      <c r="K18" s="25" t="str">
        <f t="shared" si="0"/>
        <v/>
      </c>
      <c r="N18" s="66"/>
      <c r="O18" s="13"/>
      <c r="P18" s="23"/>
      <c r="Q18" s="24"/>
      <c r="R18" s="25" t="str">
        <f t="shared" si="8"/>
        <v/>
      </c>
      <c r="S18" s="267"/>
    </row>
    <row r="19" spans="1:21" ht="12.75" customHeight="1" outlineLevel="1" x14ac:dyDescent="0.25">
      <c r="B19" s="176"/>
      <c r="C19" s="12"/>
      <c r="D19" s="243"/>
      <c r="E19" s="244"/>
      <c r="F19" s="245"/>
      <c r="G19" s="66"/>
      <c r="H19" s="13" t="str">
        <f>IF(C19="","",IF(C19="Entrée",H12+G19,IF(C19="Sortie",H12-G19)))</f>
        <v/>
      </c>
      <c r="I19" s="23"/>
      <c r="J19" s="24"/>
      <c r="K19" s="25" t="str">
        <f t="shared" si="0"/>
        <v/>
      </c>
      <c r="N19" s="66"/>
      <c r="O19" s="13" t="str">
        <f>IF(C19="","",IF(C19="Entrée",O12+N19,IF(C19="Sortie",O12-N19)))</f>
        <v/>
      </c>
      <c r="P19" s="23"/>
      <c r="Q19" s="24"/>
      <c r="R19" s="25" t="str">
        <f t="shared" si="8"/>
        <v/>
      </c>
      <c r="S19" s="267"/>
      <c r="T19" s="143"/>
    </row>
    <row r="20" spans="1:21" ht="12.75" customHeight="1" outlineLevel="1" x14ac:dyDescent="0.25">
      <c r="B20" s="176"/>
      <c r="C20" s="12"/>
      <c r="D20" s="243"/>
      <c r="E20" s="244"/>
      <c r="F20" s="245"/>
      <c r="G20" s="66"/>
      <c r="H20" s="13" t="str">
        <f t="shared" ref="H20" si="13">IF(C20="","",IF(C20="Entrée",H19+G20,IF(C20="Sortie",H19-G20)))</f>
        <v/>
      </c>
      <c r="I20" s="23"/>
      <c r="J20" s="24"/>
      <c r="K20" s="25" t="str">
        <f t="shared" ref="K20" si="14">IF(J20="","",J20-H20)</f>
        <v/>
      </c>
      <c r="N20" s="66"/>
      <c r="O20" s="13" t="str">
        <f t="shared" ref="O20" si="15">IF(C20="","",IF(C20="Entrée",O19+N20,IF(C20="Sortie",O19-N20)))</f>
        <v/>
      </c>
      <c r="P20" s="23"/>
      <c r="Q20" s="24"/>
      <c r="R20" s="25" t="str">
        <f t="shared" ref="R20" si="16">IF(Q20="","",Q20-O20)</f>
        <v/>
      </c>
      <c r="S20" s="267"/>
      <c r="T20" s="143"/>
    </row>
    <row r="21" spans="1:21" ht="12.75" customHeight="1" outlineLevel="1" x14ac:dyDescent="0.25">
      <c r="B21" s="168"/>
      <c r="C21" s="27"/>
      <c r="D21" s="109"/>
      <c r="E21" s="39"/>
      <c r="F21" s="53"/>
      <c r="G21" s="60"/>
      <c r="H21" s="29" t="str">
        <f>IF(C21="","",IF(C21="Entrée",#REF!+G21,IF(C21="Sortie",#REF!-G21)))</f>
        <v/>
      </c>
      <c r="I21" s="30"/>
      <c r="J21" s="31"/>
      <c r="K21" s="32" t="str">
        <f t="shared" si="0"/>
        <v/>
      </c>
      <c r="N21" s="60"/>
      <c r="O21" s="29" t="str">
        <f>IF(C21="","",IF(J21="Entrée",#REF!+N21,IF(J21="Sortie",#REF!-N21)))</f>
        <v/>
      </c>
      <c r="P21" s="30"/>
      <c r="Q21" s="31"/>
      <c r="R21" s="25" t="str">
        <f t="shared" si="8"/>
        <v/>
      </c>
      <c r="S21" s="267"/>
    </row>
    <row r="22" spans="1:21" ht="7.35" customHeight="1" x14ac:dyDescent="0.25">
      <c r="B22" s="169"/>
      <c r="C22" s="6"/>
      <c r="D22" s="101"/>
      <c r="E22" s="6"/>
      <c r="F22" s="6"/>
      <c r="G22" s="6"/>
      <c r="H22" s="6"/>
      <c r="I22" s="6"/>
      <c r="J22" s="6"/>
      <c r="K22" s="6"/>
      <c r="L22" s="6"/>
      <c r="N22" s="6"/>
      <c r="O22" s="6"/>
      <c r="P22" s="6"/>
      <c r="Q22" s="6"/>
      <c r="R22" s="25" t="str">
        <f t="shared" si="8"/>
        <v/>
      </c>
      <c r="S22" s="268"/>
    </row>
    <row r="23" spans="1:21" ht="21" customHeight="1" x14ac:dyDescent="0.25">
      <c r="B23" s="169"/>
      <c r="C23" s="6"/>
      <c r="D23" s="101"/>
      <c r="E23" s="6"/>
      <c r="F23" s="70" t="s">
        <v>11</v>
      </c>
      <c r="G23" s="71">
        <f>SUMIF(C9:C21,"Entrée",G9:G21)</f>
        <v>770</v>
      </c>
      <c r="H23" s="6"/>
      <c r="I23" s="6"/>
      <c r="J23" s="6"/>
      <c r="K23" s="6"/>
      <c r="L23" s="6"/>
      <c r="O23" s="15"/>
      <c r="P23" s="61"/>
      <c r="Q23" s="70" t="s">
        <v>25</v>
      </c>
      <c r="R23" s="71">
        <f>SUMIF(C9:C21,"Entrée",N9:N21)</f>
        <v>70</v>
      </c>
      <c r="S23" s="268"/>
    </row>
    <row r="24" spans="1:21" ht="21" customHeight="1" x14ac:dyDescent="0.25">
      <c r="B24" s="169"/>
      <c r="C24" s="6"/>
      <c r="E24" s="6"/>
      <c r="F24" s="70" t="s">
        <v>12</v>
      </c>
      <c r="G24" s="71">
        <f>SUMIF(C9:C21,"Sortie",G9:G21)</f>
        <v>0</v>
      </c>
      <c r="H24" s="6"/>
      <c r="I24" s="6"/>
      <c r="J24" s="6"/>
      <c r="K24" s="6"/>
      <c r="L24" s="6"/>
      <c r="O24" s="15"/>
      <c r="P24" s="61"/>
      <c r="Q24" s="70" t="s">
        <v>24</v>
      </c>
      <c r="R24" s="71">
        <f>SUMIF(C9:C21,"Sortie",N9:N21)</f>
        <v>0</v>
      </c>
      <c r="S24" s="268"/>
    </row>
    <row r="25" spans="1:21" ht="9" customHeight="1" x14ac:dyDescent="0.25">
      <c r="B25" s="169" t="s">
        <v>28</v>
      </c>
      <c r="C25" s="6"/>
      <c r="E25" s="6"/>
      <c r="F25" s="67"/>
      <c r="G25" s="68"/>
      <c r="H25" s="6"/>
      <c r="I25" s="6"/>
      <c r="J25" s="6"/>
      <c r="K25" s="6"/>
      <c r="L25" s="6"/>
      <c r="O25" s="69"/>
      <c r="P25" s="69"/>
      <c r="Q25" s="67"/>
      <c r="R25" s="68"/>
      <c r="S25" s="6"/>
    </row>
    <row r="26" spans="1:21" ht="21" customHeight="1" thickBot="1" x14ac:dyDescent="0.3">
      <c r="A26" s="35"/>
      <c r="B26" s="170"/>
      <c r="C26" s="44"/>
      <c r="D26" s="190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21" ht="21" customHeight="1" x14ac:dyDescent="0.25">
      <c r="B27" s="169"/>
      <c r="C27" s="6"/>
      <c r="E27" s="6"/>
      <c r="F27" s="6"/>
      <c r="G27" s="6"/>
      <c r="H27" s="6"/>
      <c r="I27" s="6"/>
      <c r="J27" s="6"/>
      <c r="K27" s="6"/>
      <c r="L27" s="6"/>
      <c r="N27" s="6"/>
      <c r="O27" s="6"/>
      <c r="P27" s="6"/>
      <c r="Q27" s="6"/>
      <c r="R27" s="6"/>
      <c r="S27" s="6"/>
    </row>
    <row r="28" spans="1:21" ht="21" customHeight="1" x14ac:dyDescent="0.3">
      <c r="B28" s="171"/>
      <c r="C28" s="78"/>
      <c r="D28" s="106"/>
      <c r="E28" s="78"/>
      <c r="F28" s="78"/>
      <c r="G28" s="312" t="s">
        <v>16</v>
      </c>
      <c r="H28" s="313"/>
      <c r="I28" s="80"/>
      <c r="J28" s="314" t="s">
        <v>0</v>
      </c>
      <c r="K28" s="315"/>
      <c r="L28" s="79"/>
      <c r="M28" s="79"/>
      <c r="N28" s="312" t="s">
        <v>17</v>
      </c>
      <c r="O28" s="313"/>
      <c r="P28" s="80"/>
      <c r="Q28" s="314" t="s">
        <v>0</v>
      </c>
      <c r="R28" s="315"/>
      <c r="S28" s="269"/>
    </row>
    <row r="29" spans="1:21" ht="22.5" customHeight="1" x14ac:dyDescent="0.25">
      <c r="B29" s="113" t="s">
        <v>1</v>
      </c>
      <c r="C29" s="7" t="s">
        <v>7</v>
      </c>
      <c r="D29" s="185" t="s">
        <v>5</v>
      </c>
      <c r="E29" s="48" t="s">
        <v>14</v>
      </c>
      <c r="F29" s="7" t="s">
        <v>4</v>
      </c>
      <c r="G29" s="82" t="s">
        <v>2</v>
      </c>
      <c r="H29" s="50" t="s">
        <v>13</v>
      </c>
      <c r="I29" s="23"/>
      <c r="J29" s="81" t="s">
        <v>0</v>
      </c>
      <c r="K29" s="84" t="s">
        <v>3</v>
      </c>
      <c r="N29" s="83" t="s">
        <v>2</v>
      </c>
      <c r="O29" s="40" t="s">
        <v>13</v>
      </c>
      <c r="P29" s="23"/>
      <c r="Q29" s="81" t="s">
        <v>0</v>
      </c>
      <c r="R29" s="84" t="s">
        <v>3</v>
      </c>
      <c r="S29" s="94"/>
      <c r="T29" s="143"/>
      <c r="U29" s="164"/>
    </row>
    <row r="30" spans="1:21" ht="4.3499999999999996" customHeight="1" x14ac:dyDescent="0.25">
      <c r="J30" s="1"/>
      <c r="K30" s="1"/>
      <c r="Q30" s="1"/>
      <c r="R30" s="1"/>
      <c r="S30" s="94"/>
    </row>
    <row r="31" spans="1:21" ht="18.75" customHeight="1" x14ac:dyDescent="0.3">
      <c r="B31" s="49" t="s">
        <v>27</v>
      </c>
      <c r="C31" s="11"/>
      <c r="D31" s="189"/>
      <c r="E31" s="3"/>
      <c r="F31" s="3"/>
      <c r="G31" s="56"/>
      <c r="H31" s="4"/>
      <c r="I31" s="23"/>
      <c r="J31" s="4"/>
      <c r="K31" s="57"/>
      <c r="N31" s="56"/>
      <c r="O31" s="4"/>
      <c r="P31" s="23"/>
      <c r="Q31" s="4"/>
      <c r="R31" s="57"/>
      <c r="S31" s="94"/>
    </row>
    <row r="32" spans="1:21" ht="12.75" customHeight="1" outlineLevel="1" x14ac:dyDescent="0.25">
      <c r="B32" s="179" t="s">
        <v>82</v>
      </c>
      <c r="C32" s="16"/>
      <c r="D32" s="108"/>
      <c r="E32" s="37"/>
      <c r="F32" s="51"/>
      <c r="G32" s="58"/>
      <c r="H32" s="18"/>
      <c r="I32" s="19"/>
      <c r="J32" s="20"/>
      <c r="K32" s="21" t="str">
        <f>IF(J32="","",J32-H32)</f>
        <v/>
      </c>
      <c r="N32" s="58"/>
      <c r="O32" s="18"/>
      <c r="P32" s="19"/>
      <c r="Q32" s="20"/>
      <c r="R32" s="21" t="str">
        <f>IF(Q32="","",Q32-O32)</f>
        <v/>
      </c>
      <c r="S32" s="94"/>
    </row>
    <row r="33" spans="1:19" ht="12.75" customHeight="1" outlineLevel="1" x14ac:dyDescent="0.25">
      <c r="B33" s="177">
        <v>46024</v>
      </c>
      <c r="C33" s="292" t="s">
        <v>8</v>
      </c>
      <c r="D33" s="293"/>
      <c r="E33" s="294" t="s">
        <v>46</v>
      </c>
      <c r="F33" s="295"/>
      <c r="G33" s="296"/>
      <c r="H33" s="13">
        <v>1708</v>
      </c>
      <c r="I33" s="23"/>
      <c r="J33" s="299">
        <f>+H33</f>
        <v>1708</v>
      </c>
      <c r="K33" s="25">
        <f t="shared" ref="K33:K42" si="17">IF(J33="","",J33-H33)</f>
        <v>0</v>
      </c>
      <c r="N33" s="296"/>
      <c r="O33" s="13">
        <v>925</v>
      </c>
      <c r="P33" s="23"/>
      <c r="Q33" s="299">
        <f>+O33</f>
        <v>925</v>
      </c>
      <c r="R33" s="25">
        <f t="shared" ref="R33:R42" si="18">IF(Q33="","",Q33-O33)</f>
        <v>0</v>
      </c>
      <c r="S33" s="94"/>
    </row>
    <row r="34" spans="1:19" ht="12.75" customHeight="1" outlineLevel="1" x14ac:dyDescent="0.25">
      <c r="B34" s="177">
        <v>46025</v>
      </c>
      <c r="C34" s="292" t="s">
        <v>8</v>
      </c>
      <c r="D34" s="293"/>
      <c r="E34" s="294" t="s">
        <v>46</v>
      </c>
      <c r="F34" s="295"/>
      <c r="G34" s="296"/>
      <c r="H34" s="13">
        <f t="shared" ref="H34:H41" si="19">IF(C34="","",IF(C34="Entrée",H33+G34,IF(C34="Sortie",H33-G34)))</f>
        <v>1708</v>
      </c>
      <c r="I34" s="23"/>
      <c r="J34" s="299">
        <f>+H34</f>
        <v>1708</v>
      </c>
      <c r="K34" s="25">
        <f t="shared" ref="K34" si="20">IF(J34="","",J34-H34)</f>
        <v>0</v>
      </c>
      <c r="N34" s="296"/>
      <c r="O34" s="13">
        <f t="shared" ref="O34:O41" si="21">IF(C34="","",IF(C34="Entrée",O33+N34,IF(C34="Sortie",O33-N34)))</f>
        <v>925</v>
      </c>
      <c r="P34" s="23"/>
      <c r="Q34" s="299">
        <f>+O34</f>
        <v>925</v>
      </c>
      <c r="R34" s="25">
        <f t="shared" si="18"/>
        <v>0</v>
      </c>
      <c r="S34" s="94"/>
    </row>
    <row r="35" spans="1:19" ht="12.75" customHeight="1" outlineLevel="1" x14ac:dyDescent="0.25">
      <c r="A35" t="s">
        <v>78</v>
      </c>
      <c r="B35" s="177">
        <v>46025</v>
      </c>
      <c r="C35" s="12" t="s">
        <v>8</v>
      </c>
      <c r="D35" s="118">
        <v>111</v>
      </c>
      <c r="E35" s="244" t="s">
        <v>89</v>
      </c>
      <c r="F35" s="65"/>
      <c r="G35" s="59">
        <v>266</v>
      </c>
      <c r="H35" s="13">
        <f t="shared" si="19"/>
        <v>1974</v>
      </c>
      <c r="I35" s="23"/>
      <c r="J35" s="24"/>
      <c r="K35" s="25" t="str">
        <f t="shared" si="17"/>
        <v/>
      </c>
      <c r="N35" s="66">
        <v>252</v>
      </c>
      <c r="O35" s="13">
        <f t="shared" si="21"/>
        <v>1177</v>
      </c>
      <c r="P35" s="23"/>
      <c r="Q35" s="24"/>
      <c r="R35" s="25" t="str">
        <f t="shared" si="18"/>
        <v/>
      </c>
      <c r="S35" s="94"/>
    </row>
    <row r="36" spans="1:19" ht="12.75" customHeight="1" outlineLevel="1" x14ac:dyDescent="0.25">
      <c r="B36" s="177">
        <v>46026</v>
      </c>
      <c r="C36" s="292" t="s">
        <v>8</v>
      </c>
      <c r="D36" s="293"/>
      <c r="E36" s="294" t="s">
        <v>46</v>
      </c>
      <c r="F36" s="295"/>
      <c r="G36" s="296"/>
      <c r="H36" s="13">
        <f t="shared" si="19"/>
        <v>1974</v>
      </c>
      <c r="I36" s="23"/>
      <c r="J36" s="24"/>
      <c r="K36" s="25" t="str">
        <f t="shared" si="17"/>
        <v/>
      </c>
      <c r="N36" s="296"/>
      <c r="O36" s="13">
        <f t="shared" si="21"/>
        <v>1177</v>
      </c>
      <c r="P36" s="23"/>
      <c r="Q36" s="24"/>
      <c r="R36" s="25" t="str">
        <f t="shared" si="18"/>
        <v/>
      </c>
      <c r="S36" s="94"/>
    </row>
    <row r="37" spans="1:19" ht="12.75" customHeight="1" outlineLevel="1" x14ac:dyDescent="0.25">
      <c r="B37" s="177">
        <v>46027</v>
      </c>
      <c r="C37" s="292" t="s">
        <v>8</v>
      </c>
      <c r="D37" s="293"/>
      <c r="E37" s="294" t="s">
        <v>46</v>
      </c>
      <c r="F37" s="295"/>
      <c r="G37" s="296"/>
      <c r="H37" s="13">
        <f t="shared" si="19"/>
        <v>1974</v>
      </c>
      <c r="I37" s="23"/>
      <c r="J37" s="24">
        <f>1762+212</f>
        <v>1974</v>
      </c>
      <c r="K37" s="25">
        <f t="shared" si="17"/>
        <v>0</v>
      </c>
      <c r="N37" s="296"/>
      <c r="O37" s="13">
        <f t="shared" si="21"/>
        <v>1177</v>
      </c>
      <c r="P37" s="23"/>
      <c r="Q37" s="24">
        <f>1060+35+82</f>
        <v>1177</v>
      </c>
      <c r="R37" s="25">
        <f t="shared" si="18"/>
        <v>0</v>
      </c>
      <c r="S37" s="94"/>
    </row>
    <row r="38" spans="1:19" ht="12.75" customHeight="1" outlineLevel="1" x14ac:dyDescent="0.25">
      <c r="B38" s="176"/>
      <c r="C38" s="12"/>
      <c r="D38" s="243"/>
      <c r="E38" s="244"/>
      <c r="F38" s="41"/>
      <c r="G38" s="59"/>
      <c r="H38" s="13" t="str">
        <f t="shared" si="19"/>
        <v/>
      </c>
      <c r="I38" s="23"/>
      <c r="J38" s="24"/>
      <c r="K38" s="25" t="str">
        <f t="shared" si="17"/>
        <v/>
      </c>
      <c r="N38" s="59"/>
      <c r="O38" s="13" t="str">
        <f t="shared" si="21"/>
        <v/>
      </c>
      <c r="P38" s="23"/>
      <c r="Q38" s="24"/>
      <c r="R38" s="25" t="str">
        <f t="shared" si="18"/>
        <v/>
      </c>
      <c r="S38" s="94"/>
    </row>
    <row r="39" spans="1:19" ht="12.75" customHeight="1" outlineLevel="1" x14ac:dyDescent="0.25">
      <c r="B39" s="176"/>
      <c r="C39" s="12"/>
      <c r="D39" s="246"/>
      <c r="E39" s="248"/>
      <c r="F39" s="255"/>
      <c r="G39" s="66"/>
      <c r="H39" s="13" t="str">
        <f t="shared" si="19"/>
        <v/>
      </c>
      <c r="I39" s="23"/>
      <c r="J39" s="24"/>
      <c r="K39" s="25" t="str">
        <f t="shared" ref="K39:K40" si="22">IF(J39="","",J39-H39)</f>
        <v/>
      </c>
      <c r="N39" s="66"/>
      <c r="O39" s="13" t="str">
        <f t="shared" si="21"/>
        <v/>
      </c>
      <c r="P39" s="23"/>
      <c r="Q39" s="24"/>
      <c r="R39" s="25" t="str">
        <f t="shared" si="18"/>
        <v/>
      </c>
      <c r="S39" s="94"/>
    </row>
    <row r="40" spans="1:19" ht="12.75" customHeight="1" outlineLevel="1" x14ac:dyDescent="0.25">
      <c r="B40" s="176"/>
      <c r="C40" s="12"/>
      <c r="D40" s="246"/>
      <c r="E40" s="248"/>
      <c r="F40" s="255"/>
      <c r="G40" s="66"/>
      <c r="H40" s="13" t="str">
        <f t="shared" si="19"/>
        <v/>
      </c>
      <c r="I40" s="23"/>
      <c r="J40" s="24"/>
      <c r="K40" s="25" t="str">
        <f t="shared" si="22"/>
        <v/>
      </c>
      <c r="N40" s="66"/>
      <c r="O40" s="13" t="str">
        <f t="shared" si="21"/>
        <v/>
      </c>
      <c r="P40" s="23"/>
      <c r="Q40" s="24"/>
      <c r="R40" s="25" t="str">
        <f t="shared" si="18"/>
        <v/>
      </c>
      <c r="S40" s="94"/>
    </row>
    <row r="41" spans="1:19" ht="12.75" customHeight="1" outlineLevel="1" x14ac:dyDescent="0.25">
      <c r="B41" s="176"/>
      <c r="C41" s="12"/>
      <c r="D41" s="246"/>
      <c r="E41" s="248"/>
      <c r="F41" s="255"/>
      <c r="G41" s="66"/>
      <c r="H41" s="13" t="str">
        <f t="shared" si="19"/>
        <v/>
      </c>
      <c r="I41" s="23"/>
      <c r="J41" s="24"/>
      <c r="K41" s="25" t="str">
        <f t="shared" si="17"/>
        <v/>
      </c>
      <c r="N41" s="66"/>
      <c r="O41" s="13" t="str">
        <f t="shared" si="21"/>
        <v/>
      </c>
      <c r="P41" s="23"/>
      <c r="Q41" s="24"/>
      <c r="R41" s="25" t="str">
        <f t="shared" si="18"/>
        <v/>
      </c>
      <c r="S41" s="94"/>
    </row>
    <row r="42" spans="1:19" ht="12.75" customHeight="1" outlineLevel="1" x14ac:dyDescent="0.25">
      <c r="B42" s="168"/>
      <c r="C42" s="27"/>
      <c r="D42" s="109"/>
      <c r="E42" s="39"/>
      <c r="F42" s="43"/>
      <c r="G42" s="60"/>
      <c r="H42" s="13" t="str">
        <f>IF(C42="","",IF(C42="Entrée",#REF!+G42,IF(C42="Sortie",#REF!-G42)))</f>
        <v/>
      </c>
      <c r="I42" s="30"/>
      <c r="J42" s="31"/>
      <c r="K42" s="25" t="str">
        <f t="shared" si="17"/>
        <v/>
      </c>
      <c r="N42" s="60"/>
      <c r="O42" s="29" t="str">
        <f>IF(C42="","",IF(C42="Entrée",#REF!+N42,IF(C42="Sortie",#REF!-N42)))</f>
        <v/>
      </c>
      <c r="P42" s="30"/>
      <c r="Q42" s="31"/>
      <c r="R42" s="32" t="str">
        <f t="shared" si="18"/>
        <v/>
      </c>
      <c r="S42" s="94"/>
    </row>
    <row r="43" spans="1:19" ht="6.6" customHeight="1" x14ac:dyDescent="0.25">
      <c r="B43" s="169"/>
      <c r="C43" s="6"/>
      <c r="D43" s="101"/>
      <c r="E43" s="6"/>
      <c r="F43" s="6"/>
      <c r="G43" s="6"/>
      <c r="H43" s="6"/>
      <c r="I43" s="6"/>
      <c r="J43" s="6"/>
      <c r="K43" s="6"/>
      <c r="N43" s="6"/>
      <c r="O43" s="6"/>
      <c r="P43" s="6"/>
      <c r="Q43" s="6"/>
      <c r="R43" s="6"/>
      <c r="S43" s="94"/>
    </row>
    <row r="44" spans="1:19" ht="26.1" customHeight="1" x14ac:dyDescent="0.25">
      <c r="B44" s="169"/>
      <c r="C44" s="6"/>
      <c r="D44" s="101"/>
      <c r="E44" s="6"/>
      <c r="F44" s="62" t="s">
        <v>18</v>
      </c>
      <c r="G44" s="33">
        <f>SUMIF(C32:C42,"Entrée",G32:G42)</f>
        <v>266</v>
      </c>
      <c r="H44" s="6"/>
      <c r="I44" s="6"/>
      <c r="J44" s="6"/>
      <c r="K44" s="6"/>
      <c r="L44" s="6"/>
      <c r="O44" s="15"/>
      <c r="P44" s="61"/>
      <c r="Q44" s="34" t="s">
        <v>20</v>
      </c>
      <c r="R44" s="33">
        <f>SUMIF(C32:C42,"Entrée",N32:N42)</f>
        <v>252</v>
      </c>
      <c r="S44" s="269"/>
    </row>
    <row r="45" spans="1:19" ht="26.1" customHeight="1" x14ac:dyDescent="0.25">
      <c r="B45" s="169"/>
      <c r="C45" s="6"/>
      <c r="E45" s="6"/>
      <c r="F45" s="62" t="s">
        <v>19</v>
      </c>
      <c r="G45" s="33">
        <f>SUMIF(C32:C42,"Sortie",G32:G42)</f>
        <v>0</v>
      </c>
      <c r="H45" s="6"/>
      <c r="I45" s="6"/>
      <c r="J45" s="6"/>
      <c r="K45" s="6"/>
      <c r="L45" s="6"/>
      <c r="O45" s="15"/>
      <c r="P45" s="61"/>
      <c r="Q45" s="34" t="s">
        <v>21</v>
      </c>
      <c r="R45" s="33">
        <f>SUMIF(C32:C42,"Sortie",N32:N42)</f>
        <v>0</v>
      </c>
      <c r="S45" s="269"/>
    </row>
    <row r="46" spans="1:19" ht="12.75" customHeight="1" x14ac:dyDescent="0.25">
      <c r="B46" s="169" t="s">
        <v>28</v>
      </c>
      <c r="J46" s="1"/>
      <c r="K46" s="1"/>
      <c r="Q46" s="1"/>
      <c r="R46" s="1"/>
    </row>
    <row r="47" spans="1:19" ht="12.75" customHeight="1" x14ac:dyDescent="0.25">
      <c r="J47" s="1"/>
      <c r="K47" s="1"/>
      <c r="Q47" s="1"/>
      <c r="R47" s="1"/>
    </row>
    <row r="48" spans="1:19" ht="12.75" customHeight="1" x14ac:dyDescent="0.25">
      <c r="J48" s="1"/>
      <c r="K48" s="1"/>
      <c r="Q48" s="1"/>
      <c r="R48" s="1"/>
    </row>
    <row r="49" spans="10:18" ht="12.75" customHeight="1" x14ac:dyDescent="0.25">
      <c r="J49" s="1"/>
      <c r="K49" s="1"/>
      <c r="Q49" s="1"/>
      <c r="R49" s="1"/>
    </row>
    <row r="50" spans="10:18" ht="12.75" customHeight="1" x14ac:dyDescent="0.25">
      <c r="J50" s="1"/>
      <c r="K50" s="1"/>
      <c r="Q50" s="1"/>
      <c r="R50" s="1"/>
    </row>
    <row r="51" spans="10:18" ht="12.75" customHeight="1" x14ac:dyDescent="0.25">
      <c r="J51" s="1"/>
      <c r="K51" s="1"/>
      <c r="Q51" s="1"/>
      <c r="R51" s="1"/>
    </row>
    <row r="52" spans="10:18" ht="12.75" customHeight="1" x14ac:dyDescent="0.25">
      <c r="J52" s="1"/>
      <c r="K52" s="1"/>
      <c r="Q52" s="1"/>
      <c r="R52" s="1"/>
    </row>
    <row r="53" spans="10:18" ht="12.75" customHeight="1" x14ac:dyDescent="0.25">
      <c r="J53" s="1"/>
      <c r="K53" s="1"/>
      <c r="Q53" s="1"/>
      <c r="R53" s="1"/>
    </row>
    <row r="54" spans="10:18" ht="12.75" customHeight="1" x14ac:dyDescent="0.25">
      <c r="J54" s="1"/>
      <c r="K54" s="1"/>
      <c r="Q54" s="1"/>
      <c r="R54" s="1"/>
    </row>
    <row r="55" spans="10:18" ht="12.75" customHeight="1" x14ac:dyDescent="0.25">
      <c r="J55" s="1"/>
      <c r="K55" s="1"/>
      <c r="Q55" s="1"/>
      <c r="R55" s="1"/>
    </row>
    <row r="56" spans="10:18" ht="12.75" customHeight="1" x14ac:dyDescent="0.25">
      <c r="J56" s="1"/>
      <c r="K56" s="1"/>
      <c r="Q56" s="1"/>
      <c r="R56" s="1"/>
    </row>
    <row r="57" spans="10:18" ht="12.75" customHeight="1" x14ac:dyDescent="0.25">
      <c r="J57" s="1"/>
      <c r="K57" s="1"/>
      <c r="Q57" s="1"/>
      <c r="R57" s="1"/>
    </row>
    <row r="58" spans="10:18" ht="12.75" customHeight="1" x14ac:dyDescent="0.25">
      <c r="J58" s="1"/>
      <c r="K58" s="1"/>
      <c r="Q58" s="1"/>
      <c r="R58" s="1"/>
    </row>
    <row r="59" spans="10:18" ht="12.75" customHeight="1" x14ac:dyDescent="0.25">
      <c r="J59" s="1"/>
      <c r="K59" s="1"/>
      <c r="Q59" s="1"/>
      <c r="R59" s="1"/>
    </row>
    <row r="60" spans="10:18" ht="12.75" customHeight="1" x14ac:dyDescent="0.25">
      <c r="J60" s="1"/>
      <c r="K60" s="1"/>
      <c r="Q60" s="1"/>
      <c r="R60" s="1"/>
    </row>
    <row r="61" spans="10:18" ht="12.75" customHeight="1" x14ac:dyDescent="0.25">
      <c r="J61" s="1"/>
      <c r="K61" s="1"/>
      <c r="Q61" s="1"/>
      <c r="R61" s="1"/>
    </row>
    <row r="62" spans="10:18" ht="12.75" customHeight="1" x14ac:dyDescent="0.25">
      <c r="J62" s="1"/>
      <c r="K62" s="1"/>
      <c r="Q62" s="1"/>
      <c r="R62" s="1"/>
    </row>
    <row r="63" spans="10:18" ht="12.75" customHeight="1" x14ac:dyDescent="0.25">
      <c r="J63" s="1"/>
      <c r="K63" s="1"/>
      <c r="Q63" s="1"/>
      <c r="R63" s="1"/>
    </row>
    <row r="64" spans="10:18" ht="12.75" customHeight="1" x14ac:dyDescent="0.25">
      <c r="J64" s="1"/>
      <c r="K64" s="1"/>
      <c r="Q64" s="1"/>
      <c r="R64" s="1"/>
    </row>
    <row r="65" spans="10:18" ht="12.75" customHeight="1" x14ac:dyDescent="0.25">
      <c r="J65" s="1"/>
      <c r="K65" s="1"/>
      <c r="Q65" s="1"/>
      <c r="R65" s="1"/>
    </row>
    <row r="66" spans="10:18" ht="12.75" customHeight="1" x14ac:dyDescent="0.25">
      <c r="J66" s="1"/>
      <c r="K66" s="1"/>
      <c r="Q66" s="1"/>
      <c r="R66" s="1"/>
    </row>
    <row r="67" spans="10:18" ht="12.75" customHeight="1" x14ac:dyDescent="0.25">
      <c r="J67" s="1"/>
      <c r="K67" s="1"/>
      <c r="Q67" s="1"/>
      <c r="R67" s="1"/>
    </row>
    <row r="68" spans="10:18" ht="12.75" customHeight="1" x14ac:dyDescent="0.25">
      <c r="J68" s="1"/>
      <c r="K68" s="1"/>
      <c r="Q68" s="1"/>
      <c r="R68" s="1"/>
    </row>
    <row r="69" spans="10:18" ht="12.75" customHeight="1" x14ac:dyDescent="0.25">
      <c r="J69" s="1"/>
      <c r="K69" s="1"/>
      <c r="Q69" s="1"/>
      <c r="R69" s="1"/>
    </row>
    <row r="70" spans="10:18" ht="12.75" customHeight="1" x14ac:dyDescent="0.25">
      <c r="J70" s="1"/>
      <c r="K70" s="1"/>
      <c r="Q70" s="1"/>
      <c r="R70" s="1"/>
    </row>
    <row r="71" spans="10:18" ht="12.75" customHeight="1" x14ac:dyDescent="0.25">
      <c r="J71" s="1"/>
      <c r="K71" s="1"/>
      <c r="Q71" s="1"/>
      <c r="R71" s="1"/>
    </row>
    <row r="72" spans="10:18" ht="12.75" customHeight="1" x14ac:dyDescent="0.25">
      <c r="J72" s="1"/>
      <c r="K72" s="1"/>
      <c r="Q72" s="1"/>
      <c r="R72" s="1"/>
    </row>
    <row r="73" spans="10:18" ht="12.75" customHeight="1" x14ac:dyDescent="0.25">
      <c r="J73" s="1"/>
      <c r="K73" s="1"/>
      <c r="Q73" s="1"/>
      <c r="R73" s="1"/>
    </row>
    <row r="74" spans="10:18" ht="12.75" customHeight="1" x14ac:dyDescent="0.25">
      <c r="J74" s="1"/>
      <c r="K74" s="1"/>
      <c r="Q74" s="1"/>
      <c r="R74" s="1"/>
    </row>
    <row r="75" spans="10:18" ht="12.75" customHeight="1" x14ac:dyDescent="0.25">
      <c r="J75" s="1"/>
      <c r="K75" s="1"/>
      <c r="Q75" s="1"/>
      <c r="R75" s="1"/>
    </row>
    <row r="76" spans="10:18" ht="12.75" customHeight="1" x14ac:dyDescent="0.25">
      <c r="J76" s="1"/>
      <c r="K76" s="1"/>
      <c r="Q76" s="1"/>
      <c r="R76" s="1"/>
    </row>
    <row r="77" spans="10:18" ht="12.75" customHeight="1" x14ac:dyDescent="0.25">
      <c r="J77" s="1"/>
      <c r="K77" s="1"/>
      <c r="Q77" s="1"/>
      <c r="R77" s="1"/>
    </row>
    <row r="78" spans="10:18" ht="12.75" customHeight="1" x14ac:dyDescent="0.25">
      <c r="J78" s="1"/>
      <c r="K78" s="1"/>
      <c r="Q78" s="1"/>
      <c r="R78" s="1"/>
    </row>
    <row r="79" spans="10:18" ht="12.75" customHeight="1" x14ac:dyDescent="0.25">
      <c r="J79" s="1"/>
      <c r="K79" s="1"/>
      <c r="Q79" s="1"/>
      <c r="R79" s="1"/>
    </row>
    <row r="80" spans="10:18" ht="12.75" customHeight="1" x14ac:dyDescent="0.25">
      <c r="J80" s="1"/>
      <c r="K80" s="1"/>
      <c r="Q80" s="1"/>
      <c r="R80" s="1"/>
    </row>
    <row r="81" spans="10:18" ht="12.75" customHeight="1" x14ac:dyDescent="0.25">
      <c r="J81" s="1"/>
      <c r="K81" s="1"/>
      <c r="Q81" s="1"/>
      <c r="R81" s="1"/>
    </row>
    <row r="82" spans="10:18" ht="12.75" customHeight="1" x14ac:dyDescent="0.25">
      <c r="J82" s="1"/>
      <c r="K82" s="1"/>
      <c r="Q82" s="1"/>
      <c r="R82" s="1"/>
    </row>
    <row r="83" spans="10:18" ht="12.75" customHeight="1" x14ac:dyDescent="0.25">
      <c r="J83" s="1"/>
      <c r="K83" s="1"/>
      <c r="Q83" s="1"/>
      <c r="R83" s="1"/>
    </row>
    <row r="84" spans="10:18" ht="12.75" customHeight="1" x14ac:dyDescent="0.25">
      <c r="J84" s="1"/>
      <c r="K84" s="1"/>
      <c r="Q84" s="1"/>
      <c r="R84" s="1"/>
    </row>
    <row r="85" spans="10:18" ht="12.75" customHeight="1" x14ac:dyDescent="0.25">
      <c r="J85" s="1"/>
      <c r="K85" s="1"/>
      <c r="Q85" s="1"/>
      <c r="R85" s="1"/>
    </row>
    <row r="86" spans="10:18" ht="12.75" customHeight="1" x14ac:dyDescent="0.25">
      <c r="J86" s="1"/>
      <c r="K86" s="1"/>
      <c r="Q86" s="1"/>
      <c r="R86" s="1"/>
    </row>
    <row r="87" spans="10:18" ht="12.75" customHeight="1" x14ac:dyDescent="0.25">
      <c r="J87" s="1"/>
      <c r="K87" s="1"/>
      <c r="Q87" s="1"/>
      <c r="R87" s="1"/>
    </row>
    <row r="88" spans="10:18" ht="12.75" customHeight="1" x14ac:dyDescent="0.25">
      <c r="J88" s="1"/>
      <c r="K88" s="1"/>
      <c r="Q88" s="1"/>
      <c r="R88" s="1"/>
    </row>
    <row r="89" spans="10:18" ht="12.75" customHeight="1" x14ac:dyDescent="0.25">
      <c r="J89" s="1"/>
      <c r="K89" s="1"/>
      <c r="Q89" s="1"/>
      <c r="R89" s="1"/>
    </row>
    <row r="90" spans="10:18" ht="12.75" customHeight="1" x14ac:dyDescent="0.25">
      <c r="J90" s="1"/>
      <c r="K90" s="1"/>
      <c r="Q90" s="1"/>
      <c r="R90" s="1"/>
    </row>
    <row r="91" spans="10:18" ht="12.75" customHeight="1" x14ac:dyDescent="0.25">
      <c r="J91" s="1"/>
      <c r="K91" s="1"/>
      <c r="Q91" s="1"/>
      <c r="R91" s="1"/>
    </row>
    <row r="92" spans="10:18" ht="12.75" customHeight="1" x14ac:dyDescent="0.25">
      <c r="J92" s="1"/>
      <c r="K92" s="1"/>
      <c r="Q92" s="1"/>
      <c r="R92" s="1"/>
    </row>
    <row r="93" spans="10:18" ht="12.75" customHeight="1" x14ac:dyDescent="0.25">
      <c r="J93" s="1"/>
      <c r="K93" s="1"/>
      <c r="Q93" s="1"/>
      <c r="R93" s="1"/>
    </row>
    <row r="94" spans="10:18" ht="12.75" customHeight="1" x14ac:dyDescent="0.25">
      <c r="J94" s="1"/>
      <c r="K94" s="1"/>
      <c r="Q94" s="1"/>
      <c r="R94" s="1"/>
    </row>
    <row r="95" spans="10:18" ht="12.75" customHeight="1" x14ac:dyDescent="0.25">
      <c r="J95" s="1"/>
      <c r="K95" s="1"/>
      <c r="Q95" s="1"/>
      <c r="R95" s="1"/>
    </row>
    <row r="96" spans="10:18" ht="12.75" customHeight="1" x14ac:dyDescent="0.25">
      <c r="J96" s="1"/>
      <c r="K96" s="1"/>
      <c r="Q96" s="1"/>
      <c r="R96" s="1"/>
    </row>
    <row r="97" spans="10:18" ht="12.75" customHeight="1" x14ac:dyDescent="0.25">
      <c r="J97" s="1"/>
      <c r="K97" s="1"/>
      <c r="Q97" s="1"/>
      <c r="R97" s="1"/>
    </row>
    <row r="98" spans="10:18" ht="12.75" customHeight="1" x14ac:dyDescent="0.25">
      <c r="J98" s="1"/>
      <c r="K98" s="1"/>
      <c r="Q98" s="1"/>
      <c r="R98" s="1"/>
    </row>
    <row r="99" spans="10:18" ht="12.75" customHeight="1" x14ac:dyDescent="0.25">
      <c r="J99" s="1"/>
      <c r="K99" s="1"/>
      <c r="Q99" s="1"/>
      <c r="R99" s="1"/>
    </row>
    <row r="100" spans="10:18" ht="12.75" customHeight="1" x14ac:dyDescent="0.25">
      <c r="J100" s="1"/>
      <c r="K100" s="1"/>
      <c r="Q100" s="1"/>
      <c r="R100" s="1"/>
    </row>
    <row r="101" spans="10:18" ht="12.75" customHeight="1" x14ac:dyDescent="0.25">
      <c r="J101" s="1"/>
      <c r="K101" s="1"/>
      <c r="Q101" s="1"/>
      <c r="R101" s="1"/>
    </row>
    <row r="102" spans="10:18" ht="12.75" customHeight="1" x14ac:dyDescent="0.25">
      <c r="J102" s="1"/>
      <c r="K102" s="1"/>
      <c r="Q102" s="1"/>
      <c r="R102" s="1"/>
    </row>
    <row r="103" spans="10:18" ht="12.75" customHeight="1" x14ac:dyDescent="0.25">
      <c r="J103" s="1"/>
      <c r="K103" s="1"/>
      <c r="Q103" s="1"/>
      <c r="R103" s="1"/>
    </row>
    <row r="104" spans="10:18" ht="12.75" customHeight="1" x14ac:dyDescent="0.25">
      <c r="J104" s="1"/>
      <c r="K104" s="1"/>
      <c r="Q104" s="1"/>
      <c r="R104" s="1"/>
    </row>
    <row r="105" spans="10:18" ht="12.75" customHeight="1" x14ac:dyDescent="0.25">
      <c r="J105" s="1"/>
      <c r="K105" s="1"/>
      <c r="Q105" s="1"/>
      <c r="R105" s="1"/>
    </row>
    <row r="106" spans="10:18" ht="12.75" customHeight="1" x14ac:dyDescent="0.25">
      <c r="J106" s="1"/>
      <c r="K106" s="1"/>
      <c r="Q106" s="1"/>
      <c r="R106" s="1"/>
    </row>
    <row r="107" spans="10:18" ht="12.75" customHeight="1" x14ac:dyDescent="0.25">
      <c r="J107" s="1"/>
      <c r="K107" s="1"/>
      <c r="Q107" s="1"/>
      <c r="R107" s="1"/>
    </row>
    <row r="108" spans="10:18" ht="12.75" customHeight="1" x14ac:dyDescent="0.25">
      <c r="J108" s="1"/>
      <c r="K108" s="1"/>
      <c r="Q108" s="1"/>
      <c r="R108" s="1"/>
    </row>
    <row r="109" spans="10:18" ht="12.75" customHeight="1" x14ac:dyDescent="0.25">
      <c r="J109" s="1"/>
      <c r="K109" s="1"/>
      <c r="Q109" s="1"/>
      <c r="R109" s="1"/>
    </row>
    <row r="110" spans="10:18" ht="12.75" customHeight="1" x14ac:dyDescent="0.25">
      <c r="J110" s="1"/>
      <c r="K110" s="1"/>
      <c r="Q110" s="1"/>
      <c r="R110" s="1"/>
    </row>
    <row r="111" spans="10:18" ht="12.75" customHeight="1" x14ac:dyDescent="0.25">
      <c r="J111" s="1"/>
      <c r="K111" s="1"/>
      <c r="Q111" s="1"/>
      <c r="R111" s="1"/>
    </row>
    <row r="112" spans="10:18" ht="12.75" customHeight="1" x14ac:dyDescent="0.25">
      <c r="J112" s="1"/>
      <c r="K112" s="1"/>
      <c r="Q112" s="1"/>
      <c r="R112" s="1"/>
    </row>
    <row r="113" spans="10:18" ht="12.75" customHeight="1" x14ac:dyDescent="0.25">
      <c r="J113" s="1"/>
      <c r="K113" s="1"/>
      <c r="Q113" s="1"/>
      <c r="R113" s="1"/>
    </row>
    <row r="114" spans="10:18" ht="12.75" customHeight="1" x14ac:dyDescent="0.25">
      <c r="J114" s="1"/>
      <c r="K114" s="1"/>
      <c r="Q114" s="1"/>
      <c r="R114" s="1"/>
    </row>
    <row r="115" spans="10:18" ht="12.75" customHeight="1" x14ac:dyDescent="0.25">
      <c r="J115" s="1"/>
      <c r="K115" s="1"/>
      <c r="Q115" s="1"/>
      <c r="R115" s="1"/>
    </row>
    <row r="116" spans="10:18" ht="12.75" customHeight="1" x14ac:dyDescent="0.25">
      <c r="J116" s="1"/>
      <c r="K116" s="1"/>
      <c r="Q116" s="1"/>
      <c r="R116" s="1"/>
    </row>
    <row r="117" spans="10:18" ht="12.75" customHeight="1" x14ac:dyDescent="0.25">
      <c r="J117" s="1"/>
      <c r="K117" s="1"/>
      <c r="Q117" s="1"/>
      <c r="R117" s="1"/>
    </row>
    <row r="118" spans="10:18" ht="12.75" customHeight="1" x14ac:dyDescent="0.25">
      <c r="J118" s="1"/>
      <c r="K118" s="1"/>
      <c r="Q118" s="1"/>
      <c r="R118" s="1"/>
    </row>
    <row r="119" spans="10:18" ht="12.75" customHeight="1" x14ac:dyDescent="0.25">
      <c r="J119" s="1"/>
      <c r="K119" s="1"/>
      <c r="Q119" s="1"/>
      <c r="R119" s="1"/>
    </row>
    <row r="120" spans="10:18" ht="12.75" customHeight="1" x14ac:dyDescent="0.25">
      <c r="J120" s="1"/>
      <c r="K120" s="1"/>
      <c r="Q120" s="1"/>
      <c r="R120" s="1"/>
    </row>
    <row r="121" spans="10:18" ht="12.75" customHeight="1" x14ac:dyDescent="0.25">
      <c r="J121" s="1"/>
      <c r="K121" s="1"/>
      <c r="Q121" s="1"/>
      <c r="R121" s="1"/>
    </row>
    <row r="122" spans="10:18" ht="12.75" customHeight="1" x14ac:dyDescent="0.25">
      <c r="J122" s="1"/>
      <c r="K122" s="1"/>
      <c r="Q122" s="1"/>
      <c r="R122" s="1"/>
    </row>
    <row r="123" spans="10:18" ht="12.75" customHeight="1" x14ac:dyDescent="0.25">
      <c r="J123" s="1"/>
      <c r="K123" s="1"/>
      <c r="Q123" s="1"/>
      <c r="R123" s="1"/>
    </row>
    <row r="124" spans="10:18" ht="12.75" customHeight="1" x14ac:dyDescent="0.25">
      <c r="J124" s="1"/>
      <c r="K124" s="1"/>
      <c r="Q124" s="1"/>
      <c r="R124" s="1"/>
    </row>
    <row r="125" spans="10:18" ht="12.75" customHeight="1" x14ac:dyDescent="0.25">
      <c r="J125" s="1"/>
      <c r="K125" s="1"/>
      <c r="Q125" s="1"/>
      <c r="R125" s="1"/>
    </row>
    <row r="126" spans="10:18" ht="12.75" customHeight="1" x14ac:dyDescent="0.25">
      <c r="J126" s="1"/>
      <c r="K126" s="1"/>
      <c r="Q126" s="1"/>
      <c r="R126" s="1"/>
    </row>
    <row r="127" spans="10:18" ht="12.75" customHeight="1" x14ac:dyDescent="0.25">
      <c r="J127" s="1"/>
      <c r="K127" s="1"/>
      <c r="Q127" s="1"/>
      <c r="R127" s="1"/>
    </row>
    <row r="128" spans="10:18" ht="12.75" customHeight="1" x14ac:dyDescent="0.25">
      <c r="J128" s="1"/>
      <c r="K128" s="1"/>
      <c r="Q128" s="1"/>
      <c r="R128" s="1"/>
    </row>
    <row r="129" spans="10:18" ht="12.75" customHeight="1" x14ac:dyDescent="0.25">
      <c r="J129" s="1"/>
      <c r="K129" s="1"/>
      <c r="Q129" s="1"/>
      <c r="R129" s="1"/>
    </row>
    <row r="130" spans="10:18" ht="12.75" customHeight="1" x14ac:dyDescent="0.25">
      <c r="J130" s="1"/>
      <c r="K130" s="1"/>
      <c r="Q130" s="1"/>
      <c r="R130" s="1"/>
    </row>
    <row r="131" spans="10:18" ht="12.75" customHeight="1" x14ac:dyDescent="0.25">
      <c r="J131" s="1"/>
      <c r="K131" s="1"/>
      <c r="Q131" s="1"/>
      <c r="R131" s="1"/>
    </row>
    <row r="132" spans="10:18" ht="12.75" customHeight="1" x14ac:dyDescent="0.25">
      <c r="J132" s="1"/>
      <c r="K132" s="1"/>
      <c r="Q132" s="1"/>
      <c r="R132" s="1"/>
    </row>
    <row r="133" spans="10:18" ht="12.75" customHeight="1" x14ac:dyDescent="0.25">
      <c r="J133" s="1"/>
      <c r="K133" s="1"/>
      <c r="Q133" s="1"/>
      <c r="R133" s="1"/>
    </row>
    <row r="134" spans="10:18" ht="12.75" customHeight="1" x14ac:dyDescent="0.25">
      <c r="J134" s="1"/>
      <c r="K134" s="1"/>
      <c r="Q134" s="1"/>
      <c r="R134" s="1"/>
    </row>
    <row r="135" spans="10:18" ht="12.75" customHeight="1" x14ac:dyDescent="0.25">
      <c r="J135" s="1"/>
      <c r="K135" s="1"/>
      <c r="Q135" s="1"/>
      <c r="R135" s="1"/>
    </row>
    <row r="136" spans="10:18" ht="12.75" customHeight="1" x14ac:dyDescent="0.25">
      <c r="J136" s="1"/>
      <c r="K136" s="1"/>
      <c r="Q136" s="1"/>
      <c r="R136" s="1"/>
    </row>
    <row r="137" spans="10:18" ht="12.75" customHeight="1" x14ac:dyDescent="0.25">
      <c r="J137" s="1"/>
      <c r="K137" s="1"/>
      <c r="Q137" s="1"/>
      <c r="R137" s="1"/>
    </row>
    <row r="138" spans="10:18" ht="12.75" customHeight="1" x14ac:dyDescent="0.25">
      <c r="J138" s="1"/>
      <c r="K138" s="1"/>
      <c r="Q138" s="1"/>
      <c r="R138" s="1"/>
    </row>
    <row r="139" spans="10:18" ht="12.75" customHeight="1" x14ac:dyDescent="0.25">
      <c r="J139" s="1"/>
      <c r="K139" s="1"/>
      <c r="Q139" s="1"/>
      <c r="R139" s="1"/>
    </row>
    <row r="140" spans="10:18" ht="12.75" customHeight="1" x14ac:dyDescent="0.25">
      <c r="J140" s="1"/>
      <c r="K140" s="1"/>
      <c r="Q140" s="1"/>
      <c r="R140" s="1"/>
    </row>
    <row r="141" spans="10:18" ht="12.75" customHeight="1" x14ac:dyDescent="0.25">
      <c r="J141" s="1"/>
      <c r="K141" s="1"/>
      <c r="Q141" s="1"/>
      <c r="R141" s="1"/>
    </row>
    <row r="142" spans="10:18" ht="12.75" customHeight="1" x14ac:dyDescent="0.25">
      <c r="J142" s="1"/>
      <c r="K142" s="1"/>
      <c r="Q142" s="1"/>
      <c r="R142" s="1"/>
    </row>
    <row r="143" spans="10:18" ht="12.75" customHeight="1" x14ac:dyDescent="0.25">
      <c r="J143" s="1"/>
      <c r="K143" s="1"/>
      <c r="Q143" s="1"/>
      <c r="R143" s="1"/>
    </row>
    <row r="144" spans="10:18" ht="12.75" customHeight="1" x14ac:dyDescent="0.25">
      <c r="J144" s="1"/>
      <c r="K144" s="1"/>
      <c r="Q144" s="1"/>
      <c r="R144" s="1"/>
    </row>
    <row r="145" spans="10:18" ht="12.75" customHeight="1" x14ac:dyDescent="0.25">
      <c r="J145" s="1"/>
      <c r="K145" s="1"/>
      <c r="Q145" s="1"/>
      <c r="R145" s="1"/>
    </row>
    <row r="146" spans="10:18" ht="12.75" customHeight="1" x14ac:dyDescent="0.25">
      <c r="J146" s="1"/>
      <c r="K146" s="1"/>
      <c r="Q146" s="1"/>
      <c r="R146" s="1"/>
    </row>
    <row r="147" spans="10:18" ht="12.75" customHeight="1" x14ac:dyDescent="0.25">
      <c r="J147" s="1"/>
      <c r="K147" s="1"/>
      <c r="Q147" s="1"/>
      <c r="R147" s="1"/>
    </row>
    <row r="148" spans="10:18" ht="12.75" customHeight="1" x14ac:dyDescent="0.25">
      <c r="J148" s="1"/>
      <c r="K148" s="1"/>
      <c r="Q148" s="1"/>
      <c r="R148" s="1"/>
    </row>
    <row r="149" spans="10:18" ht="12.75" customHeight="1" x14ac:dyDescent="0.25">
      <c r="J149" s="1"/>
      <c r="K149" s="1"/>
      <c r="Q149" s="1"/>
      <c r="R149" s="1"/>
    </row>
    <row r="150" spans="10:18" ht="12.75" customHeight="1" x14ac:dyDescent="0.25">
      <c r="J150" s="1"/>
      <c r="K150" s="1"/>
      <c r="Q150" s="1"/>
      <c r="R150" s="1"/>
    </row>
    <row r="151" spans="10:18" ht="12.75" customHeight="1" x14ac:dyDescent="0.25">
      <c r="J151" s="1"/>
      <c r="K151" s="1"/>
      <c r="Q151" s="1"/>
      <c r="R151" s="1"/>
    </row>
    <row r="152" spans="10:18" ht="12.75" customHeight="1" x14ac:dyDescent="0.25">
      <c r="J152" s="1"/>
      <c r="K152" s="1"/>
      <c r="Q152" s="1"/>
      <c r="R152" s="1"/>
    </row>
    <row r="153" spans="10:18" ht="12.75" customHeight="1" x14ac:dyDescent="0.25">
      <c r="J153" s="1"/>
      <c r="K153" s="1"/>
      <c r="Q153" s="1"/>
      <c r="R153" s="1"/>
    </row>
    <row r="154" spans="10:18" ht="12.75" customHeight="1" x14ac:dyDescent="0.25">
      <c r="J154" s="1"/>
      <c r="K154" s="1"/>
      <c r="Q154" s="1"/>
      <c r="R154" s="1"/>
    </row>
    <row r="155" spans="10:18" ht="12.75" customHeight="1" x14ac:dyDescent="0.25">
      <c r="J155" s="1"/>
      <c r="K155" s="1"/>
      <c r="Q155" s="1"/>
      <c r="R155" s="1"/>
    </row>
    <row r="156" spans="10:18" ht="12.75" customHeight="1" x14ac:dyDescent="0.25">
      <c r="J156" s="1"/>
      <c r="K156" s="1"/>
      <c r="Q156" s="1"/>
      <c r="R156" s="1"/>
    </row>
    <row r="157" spans="10:18" ht="12.75" customHeight="1" x14ac:dyDescent="0.25">
      <c r="J157" s="1"/>
      <c r="K157" s="1"/>
      <c r="Q157" s="1"/>
      <c r="R157" s="1"/>
    </row>
    <row r="158" spans="10:18" ht="12.75" customHeight="1" x14ac:dyDescent="0.25">
      <c r="J158" s="1"/>
      <c r="K158" s="1"/>
      <c r="Q158" s="1"/>
      <c r="R158" s="1"/>
    </row>
    <row r="159" spans="10:18" ht="12.75" customHeight="1" x14ac:dyDescent="0.25">
      <c r="J159" s="1"/>
      <c r="K159" s="1"/>
      <c r="Q159" s="1"/>
      <c r="R159" s="1"/>
    </row>
    <row r="160" spans="10:18" ht="12.75" customHeight="1" x14ac:dyDescent="0.25">
      <c r="J160" s="1"/>
      <c r="K160" s="1"/>
      <c r="Q160" s="1"/>
      <c r="R160" s="1"/>
    </row>
    <row r="161" spans="10:18" ht="12.75" customHeight="1" x14ac:dyDescent="0.25">
      <c r="J161" s="1"/>
      <c r="K161" s="1"/>
      <c r="Q161" s="1"/>
      <c r="R161" s="1"/>
    </row>
    <row r="162" spans="10:18" ht="12.75" customHeight="1" x14ac:dyDescent="0.25">
      <c r="J162" s="1"/>
      <c r="K162" s="1"/>
      <c r="Q162" s="1"/>
      <c r="R162" s="1"/>
    </row>
    <row r="163" spans="10:18" ht="12.75" customHeight="1" x14ac:dyDescent="0.25">
      <c r="J163" s="1"/>
      <c r="K163" s="1"/>
      <c r="Q163" s="1"/>
      <c r="R163" s="1"/>
    </row>
    <row r="164" spans="10:18" ht="12.75" customHeight="1" x14ac:dyDescent="0.25">
      <c r="J164" s="1"/>
      <c r="K164" s="1"/>
      <c r="Q164" s="1"/>
      <c r="R164" s="1"/>
    </row>
    <row r="165" spans="10:18" ht="12.75" customHeight="1" x14ac:dyDescent="0.25">
      <c r="J165" s="1"/>
      <c r="K165" s="1"/>
      <c r="Q165" s="1"/>
      <c r="R165" s="1"/>
    </row>
    <row r="166" spans="10:18" ht="12.75" customHeight="1" x14ac:dyDescent="0.25">
      <c r="J166" s="1"/>
      <c r="K166" s="1"/>
      <c r="Q166" s="1"/>
      <c r="R166" s="1"/>
    </row>
    <row r="167" spans="10:18" ht="12.75" customHeight="1" x14ac:dyDescent="0.25">
      <c r="J167" s="1"/>
      <c r="K167" s="1"/>
      <c r="Q167" s="1"/>
      <c r="R167" s="1"/>
    </row>
    <row r="168" spans="10:18" ht="12.75" customHeight="1" x14ac:dyDescent="0.25">
      <c r="J168" s="1"/>
      <c r="K168" s="1"/>
      <c r="Q168" s="1"/>
      <c r="R168" s="1"/>
    </row>
    <row r="169" spans="10:18" ht="12.75" customHeight="1" x14ac:dyDescent="0.25">
      <c r="J169" s="1"/>
      <c r="K169" s="1"/>
      <c r="Q169" s="1"/>
      <c r="R169" s="1"/>
    </row>
    <row r="170" spans="10:18" ht="12.75" customHeight="1" x14ac:dyDescent="0.25">
      <c r="J170" s="1"/>
      <c r="K170" s="1"/>
      <c r="Q170" s="1"/>
      <c r="R170" s="1"/>
    </row>
    <row r="171" spans="10:18" ht="12.75" customHeight="1" x14ac:dyDescent="0.25">
      <c r="J171" s="1"/>
      <c r="K171" s="1"/>
      <c r="Q171" s="1"/>
      <c r="R171" s="1"/>
    </row>
    <row r="172" spans="10:18" ht="12.75" customHeight="1" x14ac:dyDescent="0.25">
      <c r="J172" s="1"/>
      <c r="K172" s="1"/>
      <c r="Q172" s="1"/>
      <c r="R172" s="1"/>
    </row>
    <row r="173" spans="10:18" ht="12.75" customHeight="1" x14ac:dyDescent="0.25">
      <c r="J173" s="1"/>
      <c r="K173" s="1"/>
      <c r="Q173" s="1"/>
      <c r="R173" s="1"/>
    </row>
    <row r="174" spans="10:18" ht="12.75" customHeight="1" x14ac:dyDescent="0.25">
      <c r="J174" s="1"/>
      <c r="K174" s="1"/>
      <c r="Q174" s="1"/>
      <c r="R174" s="1"/>
    </row>
    <row r="175" spans="10:18" ht="12.75" customHeight="1" x14ac:dyDescent="0.25">
      <c r="J175" s="1"/>
      <c r="K175" s="1"/>
      <c r="Q175" s="1"/>
      <c r="R175" s="1"/>
    </row>
    <row r="176" spans="10:18" ht="12.75" customHeight="1" x14ac:dyDescent="0.25">
      <c r="J176" s="1"/>
      <c r="K176" s="1"/>
      <c r="Q176" s="1"/>
      <c r="R176" s="1"/>
    </row>
    <row r="177" spans="10:18" ht="12.75" customHeight="1" x14ac:dyDescent="0.25">
      <c r="J177" s="1"/>
      <c r="K177" s="1"/>
      <c r="Q177" s="1"/>
      <c r="R177" s="1"/>
    </row>
    <row r="178" spans="10:18" ht="12.75" customHeight="1" x14ac:dyDescent="0.25">
      <c r="J178" s="1"/>
      <c r="K178" s="1"/>
      <c r="Q178" s="1"/>
      <c r="R178" s="1"/>
    </row>
    <row r="179" spans="10:18" ht="12.75" customHeight="1" x14ac:dyDescent="0.25">
      <c r="J179" s="1"/>
      <c r="K179" s="1"/>
      <c r="Q179" s="1"/>
      <c r="R179" s="1"/>
    </row>
    <row r="180" spans="10:18" ht="12.75" customHeight="1" x14ac:dyDescent="0.25">
      <c r="J180" s="1"/>
      <c r="K180" s="1"/>
      <c r="Q180" s="1"/>
      <c r="R180" s="1"/>
    </row>
    <row r="181" spans="10:18" ht="12.75" customHeight="1" x14ac:dyDescent="0.25">
      <c r="J181" s="1"/>
      <c r="K181" s="1"/>
      <c r="Q181" s="1"/>
      <c r="R181" s="1"/>
    </row>
    <row r="182" spans="10:18" ht="12.75" customHeight="1" x14ac:dyDescent="0.25">
      <c r="J182" s="1"/>
      <c r="K182" s="1"/>
      <c r="Q182" s="1"/>
      <c r="R182" s="1"/>
    </row>
    <row r="183" spans="10:18" ht="12.75" customHeight="1" x14ac:dyDescent="0.25">
      <c r="J183" s="1"/>
      <c r="K183" s="1"/>
      <c r="Q183" s="1"/>
      <c r="R183" s="1"/>
    </row>
    <row r="184" spans="10:18" ht="12.75" customHeight="1" x14ac:dyDescent="0.25">
      <c r="J184" s="1"/>
      <c r="K184" s="1"/>
      <c r="Q184" s="1"/>
      <c r="R184" s="1"/>
    </row>
    <row r="185" spans="10:18" ht="12.75" customHeight="1" x14ac:dyDescent="0.25">
      <c r="J185" s="1"/>
      <c r="K185" s="1"/>
      <c r="Q185" s="1"/>
      <c r="R185" s="1"/>
    </row>
    <row r="186" spans="10:18" ht="12.75" customHeight="1" x14ac:dyDescent="0.25">
      <c r="J186" s="1"/>
      <c r="K186" s="1"/>
      <c r="Q186" s="1"/>
      <c r="R186" s="1"/>
    </row>
    <row r="187" spans="10:18" ht="12.75" customHeight="1" x14ac:dyDescent="0.25">
      <c r="J187" s="1"/>
      <c r="K187" s="1"/>
      <c r="Q187" s="1"/>
      <c r="R187" s="1"/>
    </row>
    <row r="188" spans="10:18" ht="12.75" customHeight="1" x14ac:dyDescent="0.25">
      <c r="J188" s="1"/>
      <c r="K188" s="1"/>
      <c r="Q188" s="1"/>
      <c r="R188" s="1"/>
    </row>
    <row r="189" spans="10:18" ht="12.75" customHeight="1" x14ac:dyDescent="0.25">
      <c r="J189" s="1"/>
      <c r="K189" s="1"/>
      <c r="Q189" s="1"/>
      <c r="R189" s="1"/>
    </row>
    <row r="190" spans="10:18" ht="12.75" customHeight="1" x14ac:dyDescent="0.25">
      <c r="J190" s="1"/>
      <c r="K190" s="1"/>
      <c r="Q190" s="1"/>
      <c r="R190" s="1"/>
    </row>
    <row r="191" spans="10:18" ht="12.75" customHeight="1" x14ac:dyDescent="0.25">
      <c r="J191" s="1"/>
      <c r="K191" s="1"/>
      <c r="Q191" s="1"/>
      <c r="R191" s="1"/>
    </row>
    <row r="192" spans="10:18" ht="12.75" customHeight="1" x14ac:dyDescent="0.25">
      <c r="J192" s="1"/>
      <c r="K192" s="1"/>
      <c r="Q192" s="1"/>
      <c r="R192" s="1"/>
    </row>
    <row r="193" spans="10:18" ht="12.75" customHeight="1" x14ac:dyDescent="0.25">
      <c r="J193" s="1"/>
      <c r="K193" s="1"/>
      <c r="Q193" s="1"/>
      <c r="R193" s="1"/>
    </row>
    <row r="194" spans="10:18" ht="12.75" customHeight="1" x14ac:dyDescent="0.25">
      <c r="J194" s="1"/>
      <c r="K194" s="1"/>
      <c r="Q194" s="1"/>
      <c r="R194" s="1"/>
    </row>
    <row r="195" spans="10:18" ht="12.75" customHeight="1" x14ac:dyDescent="0.25">
      <c r="J195" s="1"/>
      <c r="K195" s="1"/>
      <c r="Q195" s="1"/>
      <c r="R195" s="1"/>
    </row>
    <row r="196" spans="10:18" ht="12.75" customHeight="1" x14ac:dyDescent="0.25">
      <c r="J196" s="1"/>
      <c r="K196" s="1"/>
      <c r="Q196" s="1"/>
      <c r="R196" s="1"/>
    </row>
    <row r="197" spans="10:18" ht="12.75" customHeight="1" x14ac:dyDescent="0.25">
      <c r="J197" s="1"/>
      <c r="K197" s="1"/>
      <c r="Q197" s="1"/>
      <c r="R197" s="1"/>
    </row>
    <row r="198" spans="10:18" ht="12.75" customHeight="1" x14ac:dyDescent="0.25">
      <c r="J198" s="1"/>
      <c r="K198" s="1"/>
      <c r="Q198" s="1"/>
      <c r="R198" s="1"/>
    </row>
    <row r="199" spans="10:18" ht="12.75" customHeight="1" x14ac:dyDescent="0.25">
      <c r="J199" s="1"/>
      <c r="K199" s="1"/>
      <c r="Q199" s="1"/>
      <c r="R199" s="1"/>
    </row>
    <row r="200" spans="10:18" ht="12.75" customHeight="1" x14ac:dyDescent="0.25">
      <c r="J200" s="1"/>
      <c r="K200" s="1"/>
      <c r="Q200" s="1"/>
      <c r="R200" s="1"/>
    </row>
    <row r="201" spans="10:18" ht="12.75" customHeight="1" x14ac:dyDescent="0.25">
      <c r="J201" s="1"/>
      <c r="K201" s="1"/>
      <c r="Q201" s="1"/>
      <c r="R201" s="1"/>
    </row>
    <row r="202" spans="10:18" ht="12.75" customHeight="1" x14ac:dyDescent="0.25">
      <c r="J202" s="1"/>
      <c r="K202" s="1"/>
      <c r="Q202" s="1"/>
      <c r="R202" s="1"/>
    </row>
    <row r="203" spans="10:18" ht="12.75" customHeight="1" x14ac:dyDescent="0.25">
      <c r="J203" s="1"/>
      <c r="K203" s="1"/>
      <c r="Q203" s="1"/>
      <c r="R203" s="1"/>
    </row>
    <row r="204" spans="10:18" ht="12.75" customHeight="1" x14ac:dyDescent="0.25">
      <c r="J204" s="1"/>
      <c r="K204" s="1"/>
      <c r="Q204" s="1"/>
      <c r="R204" s="1"/>
    </row>
    <row r="205" spans="10:18" ht="12.75" customHeight="1" x14ac:dyDescent="0.25">
      <c r="J205" s="1"/>
      <c r="K205" s="1"/>
      <c r="Q205" s="1"/>
      <c r="R205" s="1"/>
    </row>
    <row r="206" spans="10:18" ht="12.75" customHeight="1" x14ac:dyDescent="0.25">
      <c r="J206" s="1"/>
      <c r="K206" s="1"/>
      <c r="Q206" s="1"/>
      <c r="R206" s="1"/>
    </row>
    <row r="207" spans="10:18" ht="12.75" customHeight="1" x14ac:dyDescent="0.25">
      <c r="J207" s="1"/>
      <c r="K207" s="1"/>
      <c r="Q207" s="1"/>
      <c r="R207" s="1"/>
    </row>
    <row r="208" spans="10:18" ht="12.75" customHeight="1" x14ac:dyDescent="0.25">
      <c r="J208" s="1"/>
      <c r="K208" s="1"/>
      <c r="Q208" s="1"/>
      <c r="R208" s="1"/>
    </row>
    <row r="209" spans="10:18" ht="12.75" customHeight="1" x14ac:dyDescent="0.25">
      <c r="J209" s="1"/>
      <c r="K209" s="1"/>
      <c r="Q209" s="1"/>
      <c r="R209" s="1"/>
    </row>
    <row r="210" spans="10:18" ht="12.75" customHeight="1" x14ac:dyDescent="0.25">
      <c r="J210" s="1"/>
      <c r="K210" s="1"/>
      <c r="Q210" s="1"/>
      <c r="R210" s="1"/>
    </row>
    <row r="211" spans="10:18" ht="12.75" customHeight="1" x14ac:dyDescent="0.25">
      <c r="J211" s="1"/>
      <c r="K211" s="1"/>
      <c r="Q211" s="1"/>
      <c r="R211" s="1"/>
    </row>
    <row r="212" spans="10:18" ht="12.75" customHeight="1" x14ac:dyDescent="0.25">
      <c r="J212" s="1"/>
      <c r="K212" s="1"/>
      <c r="Q212" s="1"/>
      <c r="R212" s="1"/>
    </row>
    <row r="213" spans="10:18" ht="12.75" customHeight="1" x14ac:dyDescent="0.25">
      <c r="J213" s="1"/>
      <c r="K213" s="1"/>
      <c r="Q213" s="1"/>
      <c r="R213" s="1"/>
    </row>
    <row r="214" spans="10:18" ht="12.75" customHeight="1" x14ac:dyDescent="0.25">
      <c r="J214" s="1"/>
      <c r="K214" s="1"/>
      <c r="Q214" s="1"/>
      <c r="R214" s="1"/>
    </row>
    <row r="215" spans="10:18" ht="12.75" customHeight="1" x14ac:dyDescent="0.25">
      <c r="J215" s="1"/>
      <c r="K215" s="1"/>
      <c r="Q215" s="1"/>
      <c r="R215" s="1"/>
    </row>
    <row r="216" spans="10:18" ht="12.75" customHeight="1" x14ac:dyDescent="0.25">
      <c r="J216" s="1"/>
      <c r="K216" s="1"/>
      <c r="Q216" s="1"/>
      <c r="R216" s="1"/>
    </row>
    <row r="217" spans="10:18" ht="12.75" customHeight="1" x14ac:dyDescent="0.25">
      <c r="J217" s="1"/>
      <c r="K217" s="1"/>
      <c r="Q217" s="1"/>
      <c r="R217" s="1"/>
    </row>
    <row r="218" spans="10:18" ht="12.75" customHeight="1" x14ac:dyDescent="0.25">
      <c r="J218" s="1"/>
      <c r="K218" s="1"/>
      <c r="Q218" s="1"/>
      <c r="R218" s="1"/>
    </row>
    <row r="219" spans="10:18" ht="12.75" customHeight="1" x14ac:dyDescent="0.25">
      <c r="J219" s="1"/>
      <c r="K219" s="1"/>
      <c r="Q219" s="1"/>
      <c r="R219" s="1"/>
    </row>
    <row r="220" spans="10:18" ht="12.75" customHeight="1" x14ac:dyDescent="0.25">
      <c r="J220" s="1"/>
      <c r="K220" s="1"/>
      <c r="Q220" s="1"/>
      <c r="R220" s="1"/>
    </row>
    <row r="221" spans="10:18" ht="12.75" customHeight="1" x14ac:dyDescent="0.25">
      <c r="J221" s="1"/>
      <c r="K221" s="1"/>
      <c r="Q221" s="1"/>
      <c r="R221" s="1"/>
    </row>
    <row r="222" spans="10:18" ht="12.75" customHeight="1" x14ac:dyDescent="0.25">
      <c r="J222" s="1"/>
      <c r="K222" s="1"/>
      <c r="Q222" s="1"/>
      <c r="R222" s="1"/>
    </row>
    <row r="223" spans="10:18" ht="12.75" customHeight="1" x14ac:dyDescent="0.25">
      <c r="J223" s="1"/>
      <c r="K223" s="1"/>
      <c r="Q223" s="1"/>
      <c r="R223" s="1"/>
    </row>
    <row r="224" spans="10:18" ht="12.75" customHeight="1" x14ac:dyDescent="0.25">
      <c r="J224" s="1"/>
      <c r="K224" s="1"/>
      <c r="Q224" s="1"/>
      <c r="R224" s="1"/>
    </row>
    <row r="225" spans="10:18" ht="12.75" customHeight="1" x14ac:dyDescent="0.25">
      <c r="J225" s="1"/>
      <c r="K225" s="1"/>
      <c r="Q225" s="1"/>
      <c r="R225" s="1"/>
    </row>
    <row r="226" spans="10:18" ht="12.75" customHeight="1" x14ac:dyDescent="0.25">
      <c r="J226" s="1"/>
      <c r="K226" s="1"/>
      <c r="Q226" s="1"/>
      <c r="R226" s="1"/>
    </row>
    <row r="227" spans="10:18" ht="12.75" customHeight="1" x14ac:dyDescent="0.25">
      <c r="J227" s="1"/>
      <c r="K227" s="1"/>
      <c r="Q227" s="1"/>
      <c r="R227" s="1"/>
    </row>
    <row r="228" spans="10:18" ht="12.75" customHeight="1" x14ac:dyDescent="0.25">
      <c r="J228" s="1"/>
      <c r="K228" s="1"/>
      <c r="Q228" s="1"/>
      <c r="R228" s="1"/>
    </row>
    <row r="229" spans="10:18" ht="12.75" customHeight="1" x14ac:dyDescent="0.25">
      <c r="J229" s="1"/>
      <c r="K229" s="1"/>
      <c r="Q229" s="1"/>
      <c r="R229" s="1"/>
    </row>
    <row r="230" spans="10:18" ht="12.75" customHeight="1" x14ac:dyDescent="0.25">
      <c r="J230" s="1"/>
      <c r="K230" s="1"/>
      <c r="Q230" s="1"/>
      <c r="R230" s="1"/>
    </row>
    <row r="231" spans="10:18" ht="12.75" customHeight="1" x14ac:dyDescent="0.25">
      <c r="J231" s="1"/>
      <c r="K231" s="1"/>
      <c r="Q231" s="1"/>
      <c r="R231" s="1"/>
    </row>
    <row r="232" spans="10:18" ht="12.75" customHeight="1" x14ac:dyDescent="0.25">
      <c r="J232" s="1"/>
      <c r="K232" s="1"/>
      <c r="Q232" s="1"/>
      <c r="R232" s="1"/>
    </row>
    <row r="233" spans="10:18" ht="12.75" customHeight="1" x14ac:dyDescent="0.25">
      <c r="J233" s="1"/>
      <c r="K233" s="1"/>
      <c r="Q233" s="1"/>
      <c r="R233" s="1"/>
    </row>
    <row r="234" spans="10:18" ht="12.75" customHeight="1" x14ac:dyDescent="0.25">
      <c r="J234" s="1"/>
      <c r="K234" s="1"/>
      <c r="Q234" s="1"/>
      <c r="R234" s="1"/>
    </row>
    <row r="235" spans="10:18" ht="12.75" customHeight="1" x14ac:dyDescent="0.25">
      <c r="J235" s="1"/>
      <c r="K235" s="1"/>
      <c r="Q235" s="1"/>
      <c r="R235" s="1"/>
    </row>
    <row r="236" spans="10:18" ht="12.75" customHeight="1" x14ac:dyDescent="0.25">
      <c r="J236" s="1"/>
      <c r="K236" s="1"/>
      <c r="Q236" s="1"/>
      <c r="R236" s="1"/>
    </row>
    <row r="237" spans="10:18" ht="12.75" customHeight="1" x14ac:dyDescent="0.25">
      <c r="J237" s="1"/>
      <c r="K237" s="1"/>
      <c r="Q237" s="1"/>
      <c r="R237" s="1"/>
    </row>
    <row r="238" spans="10:18" ht="12.75" customHeight="1" x14ac:dyDescent="0.25">
      <c r="J238" s="1"/>
      <c r="K238" s="1"/>
      <c r="Q238" s="1"/>
      <c r="R238" s="1"/>
    </row>
    <row r="239" spans="10:18" ht="12.75" customHeight="1" x14ac:dyDescent="0.25">
      <c r="J239" s="1"/>
      <c r="K239" s="1"/>
      <c r="Q239" s="1"/>
      <c r="R239" s="1"/>
    </row>
    <row r="240" spans="10:18" ht="12.75" customHeight="1" x14ac:dyDescent="0.25">
      <c r="J240" s="1"/>
      <c r="K240" s="1"/>
      <c r="Q240" s="1"/>
      <c r="R240" s="1"/>
    </row>
    <row r="241" spans="10:18" ht="12.75" customHeight="1" x14ac:dyDescent="0.25">
      <c r="J241" s="1"/>
      <c r="K241" s="1"/>
      <c r="Q241" s="1"/>
      <c r="R241" s="1"/>
    </row>
    <row r="242" spans="10:18" ht="12.75" customHeight="1" x14ac:dyDescent="0.25">
      <c r="J242" s="1"/>
      <c r="K242" s="1"/>
      <c r="Q242" s="1"/>
      <c r="R242" s="1"/>
    </row>
    <row r="243" spans="10:18" ht="12.75" customHeight="1" x14ac:dyDescent="0.25">
      <c r="J243" s="1"/>
      <c r="K243" s="1"/>
      <c r="Q243" s="1"/>
      <c r="R243" s="1"/>
    </row>
    <row r="244" spans="10:18" ht="12.75" customHeight="1" x14ac:dyDescent="0.25">
      <c r="J244" s="1"/>
      <c r="K244" s="1"/>
      <c r="Q244" s="1"/>
      <c r="R244" s="1"/>
    </row>
    <row r="245" spans="10:18" ht="12.75" customHeight="1" x14ac:dyDescent="0.25">
      <c r="J245" s="1"/>
      <c r="K245" s="1"/>
      <c r="Q245" s="1"/>
      <c r="R245" s="1"/>
    </row>
    <row r="246" spans="10:18" ht="12.75" customHeight="1" x14ac:dyDescent="0.25">
      <c r="J246" s="1"/>
      <c r="K246" s="1"/>
      <c r="Q246" s="1"/>
      <c r="R246" s="1"/>
    </row>
    <row r="247" spans="10:18" ht="12.75" customHeight="1" x14ac:dyDescent="0.25">
      <c r="J247" s="1"/>
      <c r="K247" s="1"/>
      <c r="Q247" s="1"/>
      <c r="R247" s="1"/>
    </row>
    <row r="248" spans="10:18" ht="12.75" customHeight="1" x14ac:dyDescent="0.25">
      <c r="J248" s="1"/>
      <c r="K248" s="1"/>
      <c r="Q248" s="1"/>
      <c r="R248" s="1"/>
    </row>
    <row r="249" spans="10:18" ht="12.75" customHeight="1" x14ac:dyDescent="0.25">
      <c r="J249" s="1"/>
      <c r="K249" s="1"/>
      <c r="Q249" s="1"/>
      <c r="R249" s="1"/>
    </row>
    <row r="250" spans="10:18" ht="12.75" customHeight="1" x14ac:dyDescent="0.25">
      <c r="J250" s="1"/>
      <c r="K250" s="1"/>
      <c r="Q250" s="1"/>
      <c r="R250" s="1"/>
    </row>
    <row r="251" spans="10:18" ht="12.75" customHeight="1" x14ac:dyDescent="0.25">
      <c r="J251" s="1"/>
      <c r="K251" s="1"/>
      <c r="Q251" s="1"/>
      <c r="R251" s="1"/>
    </row>
    <row r="252" spans="10:18" ht="12.75" customHeight="1" x14ac:dyDescent="0.25">
      <c r="J252" s="1"/>
      <c r="K252" s="1"/>
      <c r="Q252" s="1"/>
      <c r="R252" s="1"/>
    </row>
    <row r="253" spans="10:18" ht="12.75" customHeight="1" x14ac:dyDescent="0.25">
      <c r="J253" s="1"/>
      <c r="K253" s="1"/>
      <c r="Q253" s="1"/>
      <c r="R253" s="1"/>
    </row>
    <row r="254" spans="10:18" ht="12.75" customHeight="1" x14ac:dyDescent="0.25">
      <c r="J254" s="1"/>
      <c r="K254" s="1"/>
      <c r="Q254" s="1"/>
      <c r="R254" s="1"/>
    </row>
    <row r="255" spans="10:18" ht="12.75" customHeight="1" x14ac:dyDescent="0.25">
      <c r="J255" s="1"/>
      <c r="K255" s="1"/>
      <c r="Q255" s="1"/>
      <c r="R255" s="1"/>
    </row>
    <row r="256" spans="10:18" ht="12.75" customHeight="1" x14ac:dyDescent="0.25">
      <c r="J256" s="1"/>
      <c r="K256" s="1"/>
      <c r="Q256" s="1"/>
      <c r="R256" s="1"/>
    </row>
    <row r="257" spans="10:18" ht="12.75" customHeight="1" x14ac:dyDescent="0.25">
      <c r="J257" s="1"/>
      <c r="K257" s="1"/>
      <c r="Q257" s="1"/>
      <c r="R257" s="1"/>
    </row>
    <row r="258" spans="10:18" ht="12.75" customHeight="1" x14ac:dyDescent="0.25">
      <c r="J258" s="1"/>
      <c r="K258" s="1"/>
      <c r="Q258" s="1"/>
      <c r="R258" s="1"/>
    </row>
    <row r="259" spans="10:18" ht="12.75" customHeight="1" x14ac:dyDescent="0.25">
      <c r="J259" s="1"/>
      <c r="K259" s="1"/>
      <c r="Q259" s="1"/>
      <c r="R259" s="1"/>
    </row>
    <row r="260" spans="10:18" ht="12.75" customHeight="1" x14ac:dyDescent="0.25">
      <c r="J260" s="1"/>
      <c r="K260" s="1"/>
      <c r="Q260" s="1"/>
      <c r="R260" s="1"/>
    </row>
    <row r="261" spans="10:18" ht="12.75" customHeight="1" x14ac:dyDescent="0.25">
      <c r="J261" s="1"/>
      <c r="K261" s="1"/>
      <c r="Q261" s="1"/>
      <c r="R261" s="1"/>
    </row>
    <row r="262" spans="10:18" ht="12.75" customHeight="1" x14ac:dyDescent="0.25">
      <c r="J262" s="1"/>
      <c r="K262" s="1"/>
      <c r="Q262" s="1"/>
      <c r="R262" s="1"/>
    </row>
    <row r="263" spans="10:18" ht="12.75" customHeight="1" x14ac:dyDescent="0.25">
      <c r="J263" s="1"/>
      <c r="K263" s="1"/>
      <c r="Q263" s="1"/>
      <c r="R263" s="1"/>
    </row>
    <row r="264" spans="10:18" ht="12.75" customHeight="1" x14ac:dyDescent="0.25">
      <c r="J264" s="1"/>
      <c r="K264" s="1"/>
      <c r="Q264" s="1"/>
      <c r="R264" s="1"/>
    </row>
    <row r="265" spans="10:18" ht="12.75" customHeight="1" x14ac:dyDescent="0.25">
      <c r="J265" s="1"/>
      <c r="K265" s="1"/>
      <c r="Q265" s="1"/>
      <c r="R265" s="1"/>
    </row>
    <row r="266" spans="10:18" ht="12.75" customHeight="1" x14ac:dyDescent="0.25">
      <c r="J266" s="1"/>
      <c r="K266" s="1"/>
      <c r="Q266" s="1"/>
      <c r="R266" s="1"/>
    </row>
    <row r="267" spans="10:18" ht="12.75" customHeight="1" x14ac:dyDescent="0.25">
      <c r="J267" s="1"/>
      <c r="K267" s="1"/>
      <c r="Q267" s="1"/>
      <c r="R267" s="1"/>
    </row>
    <row r="268" spans="10:18" ht="12.75" customHeight="1" x14ac:dyDescent="0.25">
      <c r="J268" s="1"/>
      <c r="K268" s="1"/>
      <c r="Q268" s="1"/>
      <c r="R268" s="1"/>
    </row>
    <row r="269" spans="10:18" ht="12.75" customHeight="1" x14ac:dyDescent="0.25">
      <c r="J269" s="1"/>
      <c r="K269" s="1"/>
      <c r="Q269" s="1"/>
      <c r="R269" s="1"/>
    </row>
    <row r="270" spans="10:18" ht="12.75" customHeight="1" x14ac:dyDescent="0.25">
      <c r="J270" s="1"/>
      <c r="K270" s="1"/>
      <c r="Q270" s="1"/>
      <c r="R270" s="1"/>
    </row>
    <row r="271" spans="10:18" ht="12.75" customHeight="1" x14ac:dyDescent="0.25">
      <c r="J271" s="1"/>
      <c r="K271" s="1"/>
      <c r="Q271" s="1"/>
      <c r="R271" s="1"/>
    </row>
    <row r="272" spans="10:18" ht="12.75" customHeight="1" x14ac:dyDescent="0.25">
      <c r="J272" s="1"/>
      <c r="K272" s="1"/>
      <c r="Q272" s="1"/>
      <c r="R272" s="1"/>
    </row>
    <row r="273" spans="10:18" ht="12.75" customHeight="1" x14ac:dyDescent="0.25">
      <c r="J273" s="1"/>
      <c r="K273" s="1"/>
      <c r="Q273" s="1"/>
      <c r="R273" s="1"/>
    </row>
    <row r="274" spans="10:18" ht="12.75" customHeight="1" x14ac:dyDescent="0.25">
      <c r="J274" s="1"/>
      <c r="K274" s="1"/>
      <c r="Q274" s="1"/>
      <c r="R274" s="1"/>
    </row>
    <row r="275" spans="10:18" ht="12.75" customHeight="1" x14ac:dyDescent="0.25">
      <c r="J275" s="1"/>
      <c r="K275" s="1"/>
      <c r="Q275" s="1"/>
      <c r="R275" s="1"/>
    </row>
    <row r="276" spans="10:18" ht="12.75" customHeight="1" x14ac:dyDescent="0.25">
      <c r="J276" s="1"/>
      <c r="K276" s="1"/>
      <c r="Q276" s="1"/>
      <c r="R276" s="1"/>
    </row>
    <row r="277" spans="10:18" ht="12.75" customHeight="1" x14ac:dyDescent="0.25">
      <c r="J277" s="1"/>
      <c r="K277" s="1"/>
      <c r="Q277" s="1"/>
      <c r="R277" s="1"/>
    </row>
    <row r="278" spans="10:18" ht="12.75" customHeight="1" x14ac:dyDescent="0.25">
      <c r="J278" s="1"/>
      <c r="K278" s="1"/>
      <c r="Q278" s="1"/>
      <c r="R278" s="1"/>
    </row>
    <row r="279" spans="10:18" ht="12.75" customHeight="1" x14ac:dyDescent="0.25">
      <c r="J279" s="1"/>
      <c r="K279" s="1"/>
      <c r="Q279" s="1"/>
      <c r="R279" s="1"/>
    </row>
    <row r="280" spans="10:18" ht="12.75" customHeight="1" x14ac:dyDescent="0.25">
      <c r="J280" s="1"/>
      <c r="K280" s="1"/>
      <c r="Q280" s="1"/>
      <c r="R280" s="1"/>
    </row>
    <row r="281" spans="10:18" ht="12.75" customHeight="1" x14ac:dyDescent="0.25">
      <c r="J281" s="1"/>
      <c r="K281" s="1"/>
      <c r="Q281" s="1"/>
      <c r="R281" s="1"/>
    </row>
    <row r="282" spans="10:18" ht="12.75" customHeight="1" x14ac:dyDescent="0.25">
      <c r="J282" s="1"/>
      <c r="K282" s="1"/>
      <c r="Q282" s="1"/>
      <c r="R282" s="1"/>
    </row>
    <row r="283" spans="10:18" ht="12.75" customHeight="1" x14ac:dyDescent="0.25">
      <c r="J283" s="1"/>
      <c r="K283" s="1"/>
      <c r="Q283" s="1"/>
      <c r="R283" s="1"/>
    </row>
    <row r="284" spans="10:18" ht="12.75" customHeight="1" x14ac:dyDescent="0.25">
      <c r="J284" s="1"/>
      <c r="K284" s="1"/>
      <c r="Q284" s="1"/>
      <c r="R284" s="1"/>
    </row>
    <row r="285" spans="10:18" ht="12.75" customHeight="1" x14ac:dyDescent="0.25">
      <c r="J285" s="1"/>
      <c r="K285" s="1"/>
      <c r="Q285" s="1"/>
      <c r="R285" s="1"/>
    </row>
    <row r="286" spans="10:18" ht="12.75" customHeight="1" x14ac:dyDescent="0.25">
      <c r="J286" s="1"/>
      <c r="K286" s="1"/>
      <c r="Q286" s="1"/>
      <c r="R286" s="1"/>
    </row>
    <row r="287" spans="10:18" ht="12.75" customHeight="1" x14ac:dyDescent="0.25">
      <c r="J287" s="1"/>
      <c r="K287" s="1"/>
      <c r="Q287" s="1"/>
      <c r="R287" s="1"/>
    </row>
    <row r="288" spans="10:18" ht="12.75" customHeight="1" x14ac:dyDescent="0.25">
      <c r="J288" s="1"/>
      <c r="K288" s="1"/>
      <c r="Q288" s="1"/>
      <c r="R288" s="1"/>
    </row>
    <row r="289" spans="10:18" ht="12.75" customHeight="1" x14ac:dyDescent="0.25">
      <c r="J289" s="1"/>
      <c r="K289" s="1"/>
      <c r="Q289" s="1"/>
      <c r="R289" s="1"/>
    </row>
    <row r="290" spans="10:18" ht="12.75" customHeight="1" x14ac:dyDescent="0.25">
      <c r="J290" s="1"/>
      <c r="K290" s="1"/>
      <c r="Q290" s="1"/>
      <c r="R290" s="1"/>
    </row>
    <row r="291" spans="10:18" ht="12.75" customHeight="1" x14ac:dyDescent="0.25">
      <c r="J291" s="1"/>
      <c r="K291" s="1"/>
      <c r="Q291" s="1"/>
      <c r="R291" s="1"/>
    </row>
    <row r="292" spans="10:18" ht="12.75" customHeight="1" x14ac:dyDescent="0.25">
      <c r="J292" s="1"/>
      <c r="K292" s="1"/>
      <c r="Q292" s="1"/>
      <c r="R292" s="1"/>
    </row>
    <row r="293" spans="10:18" ht="12.75" customHeight="1" x14ac:dyDescent="0.25">
      <c r="J293" s="1"/>
      <c r="K293" s="1"/>
      <c r="Q293" s="1"/>
      <c r="R293" s="1"/>
    </row>
    <row r="294" spans="10:18" ht="12.75" customHeight="1" x14ac:dyDescent="0.25">
      <c r="J294" s="1"/>
      <c r="K294" s="1"/>
      <c r="Q294" s="1"/>
      <c r="R294" s="1"/>
    </row>
    <row r="295" spans="10:18" ht="12.75" customHeight="1" x14ac:dyDescent="0.25">
      <c r="J295" s="1"/>
      <c r="K295" s="1"/>
      <c r="Q295" s="1"/>
      <c r="R295" s="1"/>
    </row>
    <row r="296" spans="10:18" ht="12.75" customHeight="1" x14ac:dyDescent="0.25">
      <c r="J296" s="1"/>
      <c r="K296" s="1"/>
      <c r="Q296" s="1"/>
      <c r="R296" s="1"/>
    </row>
    <row r="297" spans="10:18" ht="12.75" customHeight="1" x14ac:dyDescent="0.25">
      <c r="J297" s="1"/>
      <c r="K297" s="1"/>
      <c r="Q297" s="1"/>
      <c r="R297" s="1"/>
    </row>
    <row r="298" spans="10:18" ht="12.75" customHeight="1" x14ac:dyDescent="0.25">
      <c r="J298" s="1"/>
      <c r="K298" s="1"/>
      <c r="Q298" s="1"/>
      <c r="R298" s="1"/>
    </row>
    <row r="299" spans="10:18" ht="12.75" customHeight="1" x14ac:dyDescent="0.25">
      <c r="J299" s="1"/>
      <c r="K299" s="1"/>
      <c r="Q299" s="1"/>
      <c r="R299" s="1"/>
    </row>
    <row r="300" spans="10:18" ht="12.75" customHeight="1" x14ac:dyDescent="0.25">
      <c r="J300" s="1"/>
      <c r="K300" s="1"/>
      <c r="Q300" s="1"/>
      <c r="R300" s="1"/>
    </row>
    <row r="301" spans="10:18" ht="12.75" customHeight="1" x14ac:dyDescent="0.25">
      <c r="J301" s="1"/>
      <c r="K301" s="1"/>
      <c r="Q301" s="1"/>
      <c r="R301" s="1"/>
    </row>
    <row r="302" spans="10:18" ht="12.75" customHeight="1" x14ac:dyDescent="0.25">
      <c r="J302" s="1"/>
      <c r="K302" s="1"/>
      <c r="Q302" s="1"/>
      <c r="R302" s="1"/>
    </row>
    <row r="303" spans="10:18" ht="12.75" customHeight="1" x14ac:dyDescent="0.25">
      <c r="J303" s="1"/>
      <c r="K303" s="1"/>
      <c r="Q303" s="1"/>
      <c r="R303" s="1"/>
    </row>
    <row r="304" spans="10:18" ht="12.75" customHeight="1" x14ac:dyDescent="0.25">
      <c r="J304" s="1"/>
      <c r="K304" s="1"/>
      <c r="Q304" s="1"/>
      <c r="R304" s="1"/>
    </row>
    <row r="305" spans="10:18" ht="12.75" customHeight="1" x14ac:dyDescent="0.25">
      <c r="J305" s="1"/>
      <c r="K305" s="1"/>
      <c r="Q305" s="1"/>
      <c r="R305" s="1"/>
    </row>
    <row r="306" spans="10:18" ht="12.75" customHeight="1" x14ac:dyDescent="0.25">
      <c r="J306" s="1"/>
      <c r="K306" s="1"/>
      <c r="Q306" s="1"/>
      <c r="R306" s="1"/>
    </row>
    <row r="307" spans="10:18" ht="12.75" customHeight="1" x14ac:dyDescent="0.25">
      <c r="J307" s="1"/>
      <c r="K307" s="1"/>
      <c r="Q307" s="1"/>
      <c r="R307" s="1"/>
    </row>
    <row r="308" spans="10:18" ht="12.75" customHeight="1" x14ac:dyDescent="0.25">
      <c r="J308" s="1"/>
      <c r="K308" s="1"/>
      <c r="Q308" s="1"/>
      <c r="R308" s="1"/>
    </row>
    <row r="309" spans="10:18" ht="12.75" customHeight="1" x14ac:dyDescent="0.25">
      <c r="J309" s="1"/>
      <c r="K309" s="1"/>
      <c r="Q309" s="1"/>
      <c r="R309" s="1"/>
    </row>
    <row r="310" spans="10:18" ht="12.75" customHeight="1" x14ac:dyDescent="0.25">
      <c r="J310" s="1"/>
      <c r="K310" s="1"/>
      <c r="Q310" s="1"/>
      <c r="R310" s="1"/>
    </row>
    <row r="311" spans="10:18" ht="12.75" customHeight="1" x14ac:dyDescent="0.25">
      <c r="J311" s="1"/>
      <c r="K311" s="1"/>
      <c r="Q311" s="1"/>
      <c r="R311" s="1"/>
    </row>
    <row r="312" spans="10:18" ht="12.75" customHeight="1" x14ac:dyDescent="0.25">
      <c r="J312" s="1"/>
      <c r="K312" s="1"/>
      <c r="Q312" s="1"/>
      <c r="R312" s="1"/>
    </row>
    <row r="313" spans="10:18" ht="12.75" customHeight="1" x14ac:dyDescent="0.25">
      <c r="J313" s="1"/>
      <c r="K313" s="1"/>
      <c r="Q313" s="1"/>
      <c r="R313" s="1"/>
    </row>
    <row r="314" spans="10:18" ht="12.75" customHeight="1" x14ac:dyDescent="0.25">
      <c r="J314" s="1"/>
      <c r="K314" s="1"/>
      <c r="Q314" s="1"/>
      <c r="R314" s="1"/>
    </row>
    <row r="315" spans="10:18" ht="12.75" customHeight="1" x14ac:dyDescent="0.25">
      <c r="J315" s="1"/>
      <c r="K315" s="1"/>
      <c r="Q315" s="1"/>
      <c r="R315" s="1"/>
    </row>
    <row r="316" spans="10:18" ht="12.75" customHeight="1" x14ac:dyDescent="0.25">
      <c r="J316" s="1"/>
      <c r="K316" s="1"/>
      <c r="Q316" s="1"/>
      <c r="R316" s="1"/>
    </row>
    <row r="317" spans="10:18" ht="12.75" customHeight="1" x14ac:dyDescent="0.25">
      <c r="J317" s="1"/>
      <c r="K317" s="1"/>
      <c r="Q317" s="1"/>
      <c r="R317" s="1"/>
    </row>
    <row r="318" spans="10:18" ht="12.75" customHeight="1" x14ac:dyDescent="0.25">
      <c r="J318" s="1"/>
      <c r="K318" s="1"/>
      <c r="Q318" s="1"/>
      <c r="R318" s="1"/>
    </row>
    <row r="319" spans="10:18" ht="12.75" customHeight="1" x14ac:dyDescent="0.25">
      <c r="J319" s="1"/>
      <c r="K319" s="1"/>
      <c r="Q319" s="1"/>
      <c r="R319" s="1"/>
    </row>
    <row r="320" spans="10:18" ht="12.75" customHeight="1" x14ac:dyDescent="0.25">
      <c r="J320" s="1"/>
      <c r="K320" s="1"/>
      <c r="Q320" s="1"/>
      <c r="R320" s="1"/>
    </row>
    <row r="321" spans="10:18" ht="12.75" customHeight="1" x14ac:dyDescent="0.25">
      <c r="J321" s="1"/>
      <c r="K321" s="1"/>
      <c r="Q321" s="1"/>
      <c r="R321" s="1"/>
    </row>
    <row r="322" spans="10:18" ht="12.75" customHeight="1" x14ac:dyDescent="0.25">
      <c r="J322" s="1"/>
      <c r="K322" s="1"/>
      <c r="Q322" s="1"/>
      <c r="R322" s="1"/>
    </row>
    <row r="323" spans="10:18" ht="12.75" customHeight="1" x14ac:dyDescent="0.25">
      <c r="J323" s="1"/>
      <c r="K323" s="1"/>
      <c r="Q323" s="1"/>
      <c r="R323" s="1"/>
    </row>
    <row r="324" spans="10:18" ht="12.75" customHeight="1" x14ac:dyDescent="0.25">
      <c r="J324" s="1"/>
      <c r="K324" s="1"/>
      <c r="Q324" s="1"/>
      <c r="R324" s="1"/>
    </row>
    <row r="325" spans="10:18" ht="12.75" customHeight="1" x14ac:dyDescent="0.25">
      <c r="J325" s="1"/>
      <c r="K325" s="1"/>
      <c r="Q325" s="1"/>
      <c r="R325" s="1"/>
    </row>
    <row r="326" spans="10:18" ht="12.75" customHeight="1" x14ac:dyDescent="0.25">
      <c r="J326" s="1"/>
      <c r="K326" s="1"/>
      <c r="Q326" s="1"/>
      <c r="R326" s="1"/>
    </row>
    <row r="327" spans="10:18" ht="12.75" customHeight="1" x14ac:dyDescent="0.25">
      <c r="J327" s="1"/>
      <c r="K327" s="1"/>
      <c r="Q327" s="1"/>
      <c r="R327" s="1"/>
    </row>
    <row r="328" spans="10:18" ht="12.75" customHeight="1" x14ac:dyDescent="0.25">
      <c r="J328" s="1"/>
      <c r="K328" s="1"/>
      <c r="Q328" s="1"/>
      <c r="R328" s="1"/>
    </row>
    <row r="329" spans="10:18" ht="12.75" customHeight="1" x14ac:dyDescent="0.25">
      <c r="J329" s="1"/>
      <c r="K329" s="1"/>
      <c r="Q329" s="1"/>
      <c r="R329" s="1"/>
    </row>
    <row r="330" spans="10:18" ht="12.75" customHeight="1" x14ac:dyDescent="0.25">
      <c r="J330" s="1"/>
      <c r="K330" s="1"/>
      <c r="Q330" s="1"/>
      <c r="R330" s="1"/>
    </row>
    <row r="331" spans="10:18" ht="12.75" customHeight="1" x14ac:dyDescent="0.25">
      <c r="J331" s="1"/>
      <c r="K331" s="1"/>
      <c r="Q331" s="1"/>
      <c r="R331" s="1"/>
    </row>
    <row r="332" spans="10:18" ht="12.75" customHeight="1" x14ac:dyDescent="0.25">
      <c r="J332" s="1"/>
      <c r="K332" s="1"/>
      <c r="Q332" s="1"/>
      <c r="R332" s="1"/>
    </row>
  </sheetData>
  <autoFilter ref="B31:H38"/>
  <mergeCells count="8">
    <mergeCell ref="Q5:R5"/>
    <mergeCell ref="G5:H5"/>
    <mergeCell ref="N5:O5"/>
    <mergeCell ref="G28:H28"/>
    <mergeCell ref="J28:K28"/>
    <mergeCell ref="N28:O28"/>
    <mergeCell ref="Q28:R28"/>
    <mergeCell ref="J5:K5"/>
  </mergeCells>
  <phoneticPr fontId="41" type="noConversion"/>
  <conditionalFormatting sqref="K32:K42 K9:K21 R9:R22 R32:R42">
    <cfRule type="cellIs" dxfId="37" priority="16" operator="equal">
      <formula>""""""</formula>
    </cfRule>
    <cfRule type="cellIs" dxfId="36" priority="17" operator="equal">
      <formula>0</formula>
    </cfRule>
    <cfRule type="cellIs" dxfId="35" priority="18" operator="lessThan">
      <formula>0</formula>
    </cfRule>
    <cfRule type="cellIs" dxfId="34" priority="19" operator="greaterThan">
      <formula>0</formula>
    </cfRule>
  </conditionalFormatting>
  <dataValidations count="1">
    <dataValidation type="list" allowBlank="1" showInputMessage="1" showErrorMessage="1" sqref="C9:C22 C32:C43">
      <formula1>"Entrée,Sortie"</formula1>
    </dataValidation>
  </dataValidations>
  <hyperlinks>
    <hyperlink ref="R1" location="Accueil!A1" tooltip="Menu" display="Menu"/>
  </hyperlinks>
  <pageMargins left="0.23622047244094491" right="0.23622047244094491" top="0.74803149606299213" bottom="0.74803149606299213" header="0.31496062992125984" footer="0.31496062992125984"/>
  <pageSetup scale="80" fitToHeight="0" orientation="landscape" r:id="rId1"/>
  <headerFooter>
    <oddFooter>&amp;L&amp;F / &amp;A&amp;C&amp;P/&amp;N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  <pageSetUpPr fitToPage="1"/>
  </sheetPr>
  <dimension ref="A1:U326"/>
  <sheetViews>
    <sheetView topLeftCell="B1" zoomScaleNormal="100" workbookViewId="0">
      <pane ySplit="3" topLeftCell="A34" activePane="bottomLeft" state="frozen"/>
      <selection activeCell="Q3" sqref="Q3:R3"/>
      <selection pane="bottomLeft" activeCell="B26" sqref="B26"/>
    </sheetView>
  </sheetViews>
  <sheetFormatPr baseColWidth="10" defaultColWidth="12.5546875" defaultRowHeight="15" customHeight="1" outlineLevelRow="1" x14ac:dyDescent="0.25"/>
  <cols>
    <col min="1" max="1" width="2.109375" customWidth="1"/>
    <col min="2" max="2" width="16" style="166" customWidth="1"/>
    <col min="3" max="3" width="8.88671875" style="10" customWidth="1"/>
    <col min="4" max="4" width="11.44140625" style="114" customWidth="1"/>
    <col min="5" max="5" width="21.44140625" customWidth="1"/>
    <col min="6" max="6" width="18.33203125" customWidth="1"/>
    <col min="7" max="7" width="13.6640625" customWidth="1"/>
    <col min="8" max="8" width="11.5546875" customWidth="1"/>
    <col min="9" max="9" width="0.88671875" customWidth="1"/>
    <col min="10" max="10" width="10.6640625" customWidth="1"/>
    <col min="11" max="11" width="7.44140625" customWidth="1"/>
    <col min="12" max="12" width="1.109375" customWidth="1"/>
    <col min="13" max="13" width="4.5546875" customWidth="1"/>
    <col min="14" max="14" width="11.109375" customWidth="1"/>
    <col min="15" max="15" width="12.44140625" customWidth="1"/>
    <col min="16" max="16" width="0.88671875" customWidth="1"/>
    <col min="17" max="17" width="8.88671875" customWidth="1"/>
    <col min="18" max="18" width="10.33203125" customWidth="1"/>
    <col min="19" max="19" width="1.109375" customWidth="1"/>
    <col min="20" max="20" width="25.5546875" customWidth="1"/>
    <col min="21" max="27" width="10" customWidth="1"/>
  </cols>
  <sheetData>
    <row r="1" spans="2:21" ht="12.75" customHeight="1" x14ac:dyDescent="0.25">
      <c r="B1" s="165" t="s">
        <v>22</v>
      </c>
      <c r="K1" s="45" t="s">
        <v>10</v>
      </c>
      <c r="R1" s="91" t="s">
        <v>36</v>
      </c>
    </row>
    <row r="2" spans="2:21" ht="12.75" customHeight="1" x14ac:dyDescent="0.25"/>
    <row r="3" spans="2:21" ht="23.25" customHeight="1" x14ac:dyDescent="0.4">
      <c r="B3" s="86" t="s">
        <v>6</v>
      </c>
      <c r="F3" s="36" t="s">
        <v>80</v>
      </c>
      <c r="J3" s="1"/>
      <c r="K3" s="1"/>
      <c r="N3" s="36"/>
      <c r="Q3" s="195" t="s">
        <v>53</v>
      </c>
      <c r="R3" s="291" t="str">
        <f ca="1">TEXT(TODAY(),"mmmm")</f>
        <v>janvier</v>
      </c>
    </row>
    <row r="4" spans="2:21" ht="12.75" customHeight="1" x14ac:dyDescent="0.25">
      <c r="J4" s="1"/>
      <c r="K4" s="2"/>
      <c r="Q4" s="1"/>
      <c r="R4" s="2"/>
    </row>
    <row r="5" spans="2:21" ht="15.75" customHeight="1" x14ac:dyDescent="0.3">
      <c r="B5" s="167"/>
      <c r="C5" s="74"/>
      <c r="D5" s="184"/>
      <c r="E5" s="74"/>
      <c r="F5" s="75"/>
      <c r="G5" s="308" t="s">
        <v>16</v>
      </c>
      <c r="H5" s="309"/>
      <c r="I5" s="76"/>
      <c r="J5" s="310" t="s">
        <v>0</v>
      </c>
      <c r="K5" s="311"/>
      <c r="L5" s="77"/>
      <c r="M5" s="77"/>
      <c r="N5" s="308" t="s">
        <v>17</v>
      </c>
      <c r="O5" s="309"/>
      <c r="P5" s="76"/>
      <c r="Q5" s="310" t="s">
        <v>0</v>
      </c>
      <c r="R5" s="311"/>
      <c r="S5" s="267"/>
    </row>
    <row r="6" spans="2:21" ht="22.5" customHeight="1" x14ac:dyDescent="0.25">
      <c r="B6" s="113" t="s">
        <v>1</v>
      </c>
      <c r="C6" s="7" t="s">
        <v>7</v>
      </c>
      <c r="D6" s="185" t="s">
        <v>5</v>
      </c>
      <c r="E6" s="48" t="s">
        <v>14</v>
      </c>
      <c r="F6" s="93" t="s">
        <v>42</v>
      </c>
      <c r="G6" s="82" t="s">
        <v>2</v>
      </c>
      <c r="H6" s="50" t="s">
        <v>13</v>
      </c>
      <c r="I6" s="23"/>
      <c r="J6" s="81" t="s">
        <v>0</v>
      </c>
      <c r="K6" s="84" t="s">
        <v>3</v>
      </c>
      <c r="N6" s="83" t="s">
        <v>2</v>
      </c>
      <c r="O6" s="40" t="s">
        <v>13</v>
      </c>
      <c r="P6" s="23"/>
      <c r="Q6" s="81" t="s">
        <v>0</v>
      </c>
      <c r="R6" s="84" t="s">
        <v>3</v>
      </c>
      <c r="S6" s="267"/>
    </row>
    <row r="7" spans="2:21" ht="4.5" customHeight="1" x14ac:dyDescent="0.25">
      <c r="F7" s="23"/>
      <c r="G7" s="54"/>
      <c r="H7" s="23"/>
      <c r="I7" s="23"/>
      <c r="J7" s="55"/>
      <c r="K7" s="25"/>
      <c r="N7" s="54"/>
      <c r="O7" s="23"/>
      <c r="P7" s="23"/>
      <c r="Q7" s="55"/>
      <c r="R7" s="25"/>
      <c r="S7" s="267"/>
    </row>
    <row r="8" spans="2:21" ht="17.100000000000001" customHeight="1" x14ac:dyDescent="0.3">
      <c r="B8" s="49" t="s">
        <v>26</v>
      </c>
      <c r="C8" s="11"/>
      <c r="D8" s="189"/>
      <c r="E8" s="3"/>
      <c r="F8" s="3"/>
      <c r="G8" s="56"/>
      <c r="H8" s="4"/>
      <c r="I8" s="23"/>
      <c r="J8" s="4"/>
      <c r="K8" s="57"/>
      <c r="N8" s="56"/>
      <c r="O8" s="4"/>
      <c r="P8" s="23"/>
      <c r="Q8" s="4"/>
      <c r="R8" s="57"/>
      <c r="S8" s="267"/>
      <c r="T8" s="143"/>
      <c r="U8" s="143"/>
    </row>
    <row r="9" spans="2:21" ht="12.6" customHeight="1" outlineLevel="1" x14ac:dyDescent="0.25">
      <c r="B9" s="179" t="s">
        <v>81</v>
      </c>
      <c r="C9" s="16"/>
      <c r="D9" s="108"/>
      <c r="E9" s="37"/>
      <c r="F9" s="51"/>
      <c r="G9" s="58"/>
      <c r="H9" s="18"/>
      <c r="I9" s="19"/>
      <c r="J9" s="20"/>
      <c r="K9" s="21" t="str">
        <f>IF(J9="","",J9-H9)</f>
        <v/>
      </c>
      <c r="N9" s="178"/>
      <c r="O9" s="18"/>
      <c r="P9" s="19"/>
      <c r="Q9" s="20"/>
      <c r="R9" s="21" t="str">
        <f>IF(Q9="","",Q9-O9)</f>
        <v/>
      </c>
      <c r="S9" s="267"/>
    </row>
    <row r="10" spans="2:21" ht="12.75" customHeight="1" outlineLevel="1" x14ac:dyDescent="0.25">
      <c r="B10" s="177">
        <v>45931</v>
      </c>
      <c r="C10" s="12" t="s">
        <v>8</v>
      </c>
      <c r="D10" s="243"/>
      <c r="E10" s="244" t="s">
        <v>46</v>
      </c>
      <c r="F10" s="245"/>
      <c r="G10" s="66"/>
      <c r="H10" s="13">
        <f>248+2758</f>
        <v>3006</v>
      </c>
      <c r="I10" s="23"/>
      <c r="J10" s="299">
        <f>+H10</f>
        <v>3006</v>
      </c>
      <c r="K10" s="25">
        <f t="shared" ref="K10:K15" si="0">IF(J10="","",J10-H10)</f>
        <v>0</v>
      </c>
      <c r="N10" s="59"/>
      <c r="O10" s="13">
        <f>334+200+105</f>
        <v>639</v>
      </c>
      <c r="P10" s="13">
        <f t="shared" ref="P10:Q10" si="1">O10</f>
        <v>639</v>
      </c>
      <c r="Q10" s="13">
        <f t="shared" si="1"/>
        <v>639</v>
      </c>
      <c r="R10" s="25">
        <f t="shared" ref="R10" si="2">IF(Q10="","",Q10-O10)</f>
        <v>0</v>
      </c>
      <c r="S10" s="267"/>
    </row>
    <row r="11" spans="2:21" ht="12.75" customHeight="1" outlineLevel="1" x14ac:dyDescent="0.25">
      <c r="B11" s="163"/>
      <c r="C11" s="12"/>
      <c r="D11" s="243"/>
      <c r="E11" s="64"/>
      <c r="F11" s="245"/>
      <c r="G11" s="66"/>
      <c r="H11" s="13" t="str">
        <f t="shared" ref="H11:H14" si="3">IF(C11="","",IF(C11="Entrée",H10+G11,IF(C11="Sortie",H10-G11)))</f>
        <v/>
      </c>
      <c r="I11" s="23"/>
      <c r="J11" s="24"/>
      <c r="K11" s="25" t="str">
        <f t="shared" si="0"/>
        <v/>
      </c>
      <c r="N11" s="59"/>
      <c r="O11" s="13" t="str">
        <f t="shared" ref="O11:O14" si="4">IF(C11="","",IF(C11="Entrée",O10+N11,IF(C11="Sortie",O10-N11)))</f>
        <v/>
      </c>
      <c r="P11" s="23"/>
      <c r="Q11" s="24"/>
      <c r="R11" s="25" t="str">
        <f>IF(Q11="","",Q11-O11)</f>
        <v/>
      </c>
      <c r="S11" s="267"/>
    </row>
    <row r="12" spans="2:21" ht="12.75" customHeight="1" outlineLevel="1" x14ac:dyDescent="0.25">
      <c r="B12" s="163"/>
      <c r="C12" s="12"/>
      <c r="D12" s="118"/>
      <c r="E12" s="244"/>
      <c r="F12" s="65"/>
      <c r="G12" s="66"/>
      <c r="H12" s="13" t="str">
        <f t="shared" si="3"/>
        <v/>
      </c>
      <c r="I12" s="23"/>
      <c r="J12" s="24"/>
      <c r="K12" s="25" t="str">
        <f t="shared" si="0"/>
        <v/>
      </c>
      <c r="N12" s="66"/>
      <c r="O12" s="13" t="str">
        <f t="shared" si="4"/>
        <v/>
      </c>
      <c r="P12" s="23"/>
      <c r="Q12" s="24"/>
      <c r="R12" s="25" t="str">
        <f t="shared" ref="R12:R16" si="5">IF(Q12="","",Q12-O12)</f>
        <v/>
      </c>
      <c r="S12" s="267"/>
    </row>
    <row r="13" spans="2:21" ht="12.75" customHeight="1" outlineLevel="1" x14ac:dyDescent="0.25">
      <c r="B13" s="176"/>
      <c r="C13" s="12"/>
      <c r="D13" s="243"/>
      <c r="E13" s="244"/>
      <c r="F13" s="245"/>
      <c r="G13" s="66"/>
      <c r="H13" s="13" t="str">
        <f t="shared" si="3"/>
        <v/>
      </c>
      <c r="I13" s="23"/>
      <c r="J13" s="24"/>
      <c r="K13" s="25" t="str">
        <f t="shared" si="0"/>
        <v/>
      </c>
      <c r="N13" s="66"/>
      <c r="O13" s="13" t="str">
        <f t="shared" si="4"/>
        <v/>
      </c>
      <c r="P13" s="23"/>
      <c r="Q13" s="24"/>
      <c r="R13" s="25" t="str">
        <f t="shared" si="5"/>
        <v/>
      </c>
      <c r="S13" s="267"/>
      <c r="T13" s="143"/>
    </row>
    <row r="14" spans="2:21" ht="12.75" customHeight="1" outlineLevel="1" x14ac:dyDescent="0.25">
      <c r="B14" s="176"/>
      <c r="C14" s="12"/>
      <c r="D14" s="172"/>
      <c r="E14" s="152"/>
      <c r="F14" s="153"/>
      <c r="G14" s="154"/>
      <c r="H14" s="13" t="str">
        <f t="shared" si="3"/>
        <v/>
      </c>
      <c r="I14" s="23"/>
      <c r="J14" s="24"/>
      <c r="K14" s="25" t="str">
        <f t="shared" si="0"/>
        <v/>
      </c>
      <c r="N14" s="66"/>
      <c r="O14" s="13" t="str">
        <f t="shared" si="4"/>
        <v/>
      </c>
      <c r="P14" s="23"/>
      <c r="Q14" s="24"/>
      <c r="R14" s="25" t="str">
        <f t="shared" si="5"/>
        <v/>
      </c>
      <c r="S14" s="267"/>
    </row>
    <row r="15" spans="2:21" ht="12.75" customHeight="1" outlineLevel="1" x14ac:dyDescent="0.25">
      <c r="B15" s="168"/>
      <c r="C15" s="27"/>
      <c r="D15" s="109"/>
      <c r="E15" s="39"/>
      <c r="F15" s="53"/>
      <c r="G15" s="60"/>
      <c r="H15" s="29" t="str">
        <f>IF(C15="","",IF(C15="Entrée",#REF!+G15,IF(C15="Sortie",#REF!-G15)))</f>
        <v/>
      </c>
      <c r="I15" s="30"/>
      <c r="J15" s="31"/>
      <c r="K15" s="32" t="str">
        <f t="shared" si="0"/>
        <v/>
      </c>
      <c r="N15" s="60"/>
      <c r="O15" s="29" t="str">
        <f>IF(C15="","",IF(J15="Entrée",#REF!+N15,IF(J15="Sortie",#REF!-N15)))</f>
        <v/>
      </c>
      <c r="P15" s="30"/>
      <c r="Q15" s="31"/>
      <c r="R15" s="25" t="str">
        <f t="shared" si="5"/>
        <v/>
      </c>
      <c r="S15" s="267"/>
    </row>
    <row r="16" spans="2:21" ht="7.35" customHeight="1" x14ac:dyDescent="0.25">
      <c r="B16" s="169"/>
      <c r="C16" s="6"/>
      <c r="D16" s="101"/>
      <c r="E16" s="6"/>
      <c r="F16" s="6"/>
      <c r="G16" s="6"/>
      <c r="H16" s="6"/>
      <c r="I16" s="6"/>
      <c r="J16" s="6"/>
      <c r="K16" s="6"/>
      <c r="L16" s="6"/>
      <c r="N16" s="6"/>
      <c r="O16" s="6"/>
      <c r="P16" s="6"/>
      <c r="Q16" s="6"/>
      <c r="R16" s="25" t="str">
        <f t="shared" si="5"/>
        <v/>
      </c>
      <c r="S16" s="268"/>
    </row>
    <row r="17" spans="1:21" ht="21" customHeight="1" x14ac:dyDescent="0.25">
      <c r="B17" s="169"/>
      <c r="C17" s="6"/>
      <c r="D17" s="101"/>
      <c r="E17" s="6"/>
      <c r="F17" s="70" t="s">
        <v>11</v>
      </c>
      <c r="G17" s="71">
        <f>SUMIF(C9:C15,"Entrée",G9:G15)</f>
        <v>0</v>
      </c>
      <c r="H17" s="6"/>
      <c r="I17" s="6"/>
      <c r="J17" s="6"/>
      <c r="K17" s="6"/>
      <c r="L17" s="6"/>
      <c r="O17" s="15"/>
      <c r="P17" s="61"/>
      <c r="Q17" s="70" t="s">
        <v>25</v>
      </c>
      <c r="R17" s="71">
        <f>SUMIF(C9:C15,"Entrée",N9:N15)</f>
        <v>0</v>
      </c>
      <c r="S17" s="268"/>
    </row>
    <row r="18" spans="1:21" ht="21" customHeight="1" x14ac:dyDescent="0.25">
      <c r="B18" s="169"/>
      <c r="C18" s="6"/>
      <c r="E18" s="6"/>
      <c r="F18" s="70" t="s">
        <v>12</v>
      </c>
      <c r="G18" s="71">
        <f>SUMIF(C9:C15,"Sortie",G9:G15)</f>
        <v>0</v>
      </c>
      <c r="H18" s="6"/>
      <c r="I18" s="6"/>
      <c r="J18" s="6"/>
      <c r="K18" s="6"/>
      <c r="L18" s="6"/>
      <c r="O18" s="15"/>
      <c r="P18" s="61"/>
      <c r="Q18" s="70" t="s">
        <v>24</v>
      </c>
      <c r="R18" s="71">
        <f>SUMIF(C9:C15,"Sortie",N9:N15)</f>
        <v>0</v>
      </c>
      <c r="S18" s="268"/>
    </row>
    <row r="19" spans="1:21" ht="9" customHeight="1" x14ac:dyDescent="0.25">
      <c r="B19" s="169" t="s">
        <v>28</v>
      </c>
      <c r="C19" s="6"/>
      <c r="E19" s="6"/>
      <c r="F19" s="67"/>
      <c r="G19" s="68"/>
      <c r="H19" s="6"/>
      <c r="I19" s="6"/>
      <c r="J19" s="6"/>
      <c r="K19" s="6"/>
      <c r="L19" s="6"/>
      <c r="O19" s="69"/>
      <c r="P19" s="69"/>
      <c r="Q19" s="67"/>
      <c r="R19" s="68"/>
      <c r="S19" s="6"/>
    </row>
    <row r="20" spans="1:21" ht="21" customHeight="1" thickBot="1" x14ac:dyDescent="0.3">
      <c r="A20" s="35"/>
      <c r="B20" s="170"/>
      <c r="C20" s="44"/>
      <c r="D20" s="190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1:21" ht="21" customHeight="1" x14ac:dyDescent="0.25">
      <c r="B21" s="169"/>
      <c r="C21" s="6"/>
      <c r="E21" s="6"/>
      <c r="F21" s="6"/>
      <c r="G21" s="6"/>
      <c r="H21" s="6"/>
      <c r="I21" s="6"/>
      <c r="J21" s="6"/>
      <c r="K21" s="6"/>
      <c r="L21" s="6"/>
      <c r="N21" s="6"/>
      <c r="O21" s="6"/>
      <c r="P21" s="6"/>
      <c r="Q21" s="6"/>
      <c r="R21" s="6"/>
      <c r="S21" s="6"/>
    </row>
    <row r="22" spans="1:21" ht="21" customHeight="1" x14ac:dyDescent="0.3">
      <c r="B22" s="171"/>
      <c r="C22" s="78"/>
      <c r="D22" s="106"/>
      <c r="E22" s="78"/>
      <c r="F22" s="78"/>
      <c r="G22" s="312" t="s">
        <v>16</v>
      </c>
      <c r="H22" s="313"/>
      <c r="I22" s="80"/>
      <c r="J22" s="314" t="s">
        <v>0</v>
      </c>
      <c r="K22" s="315"/>
      <c r="L22" s="79"/>
      <c r="M22" s="79"/>
      <c r="N22" s="312" t="s">
        <v>17</v>
      </c>
      <c r="O22" s="313"/>
      <c r="P22" s="80"/>
      <c r="Q22" s="314" t="s">
        <v>0</v>
      </c>
      <c r="R22" s="315"/>
      <c r="S22" s="269"/>
    </row>
    <row r="23" spans="1:21" ht="22.5" customHeight="1" x14ac:dyDescent="0.25">
      <c r="B23" s="113" t="s">
        <v>1</v>
      </c>
      <c r="C23" s="7" t="s">
        <v>7</v>
      </c>
      <c r="D23" s="185" t="s">
        <v>5</v>
      </c>
      <c r="E23" s="48" t="s">
        <v>14</v>
      </c>
      <c r="F23" s="7" t="s">
        <v>4</v>
      </c>
      <c r="G23" s="82" t="s">
        <v>2</v>
      </c>
      <c r="H23" s="50" t="s">
        <v>13</v>
      </c>
      <c r="I23" s="23"/>
      <c r="J23" s="81" t="s">
        <v>0</v>
      </c>
      <c r="K23" s="84" t="s">
        <v>3</v>
      </c>
      <c r="N23" s="83" t="s">
        <v>2</v>
      </c>
      <c r="O23" s="40" t="s">
        <v>13</v>
      </c>
      <c r="P23" s="23"/>
      <c r="Q23" s="81" t="s">
        <v>0</v>
      </c>
      <c r="R23" s="84" t="s">
        <v>3</v>
      </c>
      <c r="S23" s="94"/>
      <c r="T23" s="143"/>
      <c r="U23" s="164"/>
    </row>
    <row r="24" spans="1:21" ht="4.3499999999999996" customHeight="1" x14ac:dyDescent="0.25">
      <c r="J24" s="1"/>
      <c r="K24" s="1"/>
      <c r="Q24" s="1"/>
      <c r="R24" s="1"/>
      <c r="S24" s="94"/>
    </row>
    <row r="25" spans="1:21" ht="18.75" customHeight="1" x14ac:dyDescent="0.3">
      <c r="B25" s="49" t="s">
        <v>27</v>
      </c>
      <c r="C25" s="11"/>
      <c r="D25" s="189"/>
      <c r="E25" s="3"/>
      <c r="F25" s="3"/>
      <c r="G25" s="56"/>
      <c r="H25" s="4"/>
      <c r="I25" s="23"/>
      <c r="J25" s="4"/>
      <c r="K25" s="57"/>
      <c r="N25" s="56"/>
      <c r="O25" s="4"/>
      <c r="P25" s="23"/>
      <c r="Q25" s="4"/>
      <c r="R25" s="57"/>
      <c r="S25" s="94"/>
    </row>
    <row r="26" spans="1:21" ht="12.75" customHeight="1" outlineLevel="1" x14ac:dyDescent="0.25">
      <c r="B26" s="179" t="s">
        <v>81</v>
      </c>
      <c r="C26" s="16"/>
      <c r="D26" s="108"/>
      <c r="E26" s="37"/>
      <c r="F26" s="51"/>
      <c r="G26" s="58"/>
      <c r="H26" s="18"/>
      <c r="I26" s="19"/>
      <c r="J26" s="20"/>
      <c r="K26" s="21" t="str">
        <f>IF(J26="","",J26-H26)</f>
        <v/>
      </c>
      <c r="N26" s="58"/>
      <c r="O26" s="18"/>
      <c r="P26" s="19"/>
      <c r="Q26" s="20"/>
      <c r="R26" s="21" t="str">
        <f>IF(Q26="","",Q26-O26)</f>
        <v/>
      </c>
      <c r="S26" s="94"/>
    </row>
    <row r="27" spans="1:21" ht="12.75" customHeight="1" outlineLevel="1" x14ac:dyDescent="0.25">
      <c r="B27" s="177">
        <v>45931</v>
      </c>
      <c r="C27" s="12"/>
      <c r="D27" s="243"/>
      <c r="E27" s="244" t="s">
        <v>46</v>
      </c>
      <c r="F27" s="245"/>
      <c r="G27" s="59"/>
      <c r="H27" s="13">
        <f>945+1945</f>
        <v>2890</v>
      </c>
      <c r="I27" s="23"/>
      <c r="J27" s="299">
        <f>+H27</f>
        <v>2890</v>
      </c>
      <c r="K27" s="25">
        <f t="shared" ref="K27:K36" si="6">IF(J27="","",J27-H27)</f>
        <v>0</v>
      </c>
      <c r="N27" s="59"/>
      <c r="O27" s="13">
        <f>132+193</f>
        <v>325</v>
      </c>
      <c r="P27" s="23"/>
      <c r="Q27" s="299">
        <f>+O27</f>
        <v>325</v>
      </c>
      <c r="R27" s="25">
        <f t="shared" ref="R27:R36" si="7">IF(Q27="","",Q27-O27)</f>
        <v>0</v>
      </c>
      <c r="S27" s="94"/>
    </row>
    <row r="28" spans="1:21" ht="12.75" customHeight="1" outlineLevel="1" x14ac:dyDescent="0.25">
      <c r="B28" s="176"/>
      <c r="C28" s="12"/>
      <c r="D28" s="243"/>
      <c r="E28" s="64"/>
      <c r="F28" s="245"/>
      <c r="G28" s="66"/>
      <c r="H28" s="13" t="str">
        <f>IF(C28="","",IF(C28="Entrée",H27+G28,IF(C28="Sortie",H27-G28)))</f>
        <v/>
      </c>
      <c r="I28" s="23"/>
      <c r="J28" s="24"/>
      <c r="K28" s="25" t="str">
        <f t="shared" si="6"/>
        <v/>
      </c>
      <c r="N28" s="66"/>
      <c r="O28" s="13" t="str">
        <f>IF(C28="","",IF(C28="Entrée",O27+N28,IF(C28="Sortie",O27-N28)))</f>
        <v/>
      </c>
      <c r="P28" s="23"/>
      <c r="Q28" s="24"/>
      <c r="R28" s="25" t="str">
        <f t="shared" si="7"/>
        <v/>
      </c>
      <c r="S28" s="94"/>
    </row>
    <row r="29" spans="1:21" ht="12.75" customHeight="1" outlineLevel="1" x14ac:dyDescent="0.25">
      <c r="A29" t="s">
        <v>78</v>
      </c>
      <c r="B29" s="176"/>
      <c r="C29" s="12"/>
      <c r="D29" s="118"/>
      <c r="E29" s="244"/>
      <c r="F29" s="65"/>
      <c r="G29" s="59"/>
      <c r="H29" s="13" t="str">
        <f t="shared" ref="H29:H35" si="8">IF(C29="","",IF(C29="Entrée",H28+G29,IF(C29="Sortie",H28-G29)))</f>
        <v/>
      </c>
      <c r="I29" s="23"/>
      <c r="J29" s="24"/>
      <c r="K29" s="25" t="str">
        <f t="shared" si="6"/>
        <v/>
      </c>
      <c r="N29" s="66"/>
      <c r="O29" s="13" t="str">
        <f t="shared" ref="O29:O35" si="9">IF(C29="","",IF(C29="Entrée",O28+N29,IF(C29="Sortie",O28-N29)))</f>
        <v/>
      </c>
      <c r="P29" s="23"/>
      <c r="Q29" s="24"/>
      <c r="R29" s="25" t="str">
        <f t="shared" si="7"/>
        <v/>
      </c>
      <c r="S29" s="94"/>
    </row>
    <row r="30" spans="1:21" ht="12.75" customHeight="1" outlineLevel="1" x14ac:dyDescent="0.25">
      <c r="B30" s="176"/>
      <c r="C30" s="12"/>
      <c r="D30" s="243"/>
      <c r="E30" s="244"/>
      <c r="F30" s="245"/>
      <c r="G30" s="66"/>
      <c r="H30" s="13" t="str">
        <f t="shared" si="8"/>
        <v/>
      </c>
      <c r="I30" s="23"/>
      <c r="J30" s="24"/>
      <c r="K30" s="25" t="str">
        <f t="shared" si="6"/>
        <v/>
      </c>
      <c r="N30" s="66"/>
      <c r="O30" s="13" t="str">
        <f t="shared" si="9"/>
        <v/>
      </c>
      <c r="P30" s="23"/>
      <c r="Q30" s="24"/>
      <c r="R30" s="25" t="str">
        <f t="shared" si="7"/>
        <v/>
      </c>
      <c r="S30" s="94"/>
    </row>
    <row r="31" spans="1:21" ht="12.75" customHeight="1" outlineLevel="1" x14ac:dyDescent="0.25">
      <c r="B31" s="176"/>
      <c r="C31" s="12"/>
      <c r="D31" s="243"/>
      <c r="E31" s="244"/>
      <c r="F31" s="245"/>
      <c r="G31" s="66"/>
      <c r="H31" s="13" t="str">
        <f t="shared" si="8"/>
        <v/>
      </c>
      <c r="I31" s="23"/>
      <c r="J31" s="24"/>
      <c r="K31" s="25" t="str">
        <f t="shared" si="6"/>
        <v/>
      </c>
      <c r="N31" s="66"/>
      <c r="O31" s="13" t="str">
        <f t="shared" si="9"/>
        <v/>
      </c>
      <c r="P31" s="23"/>
      <c r="Q31" s="24"/>
      <c r="R31" s="25" t="str">
        <f t="shared" si="7"/>
        <v/>
      </c>
      <c r="S31" s="94"/>
    </row>
    <row r="32" spans="1:21" ht="12.75" customHeight="1" outlineLevel="1" x14ac:dyDescent="0.25">
      <c r="B32" s="176"/>
      <c r="C32" s="12"/>
      <c r="D32" s="243"/>
      <c r="E32" s="244"/>
      <c r="F32" s="41"/>
      <c r="G32" s="59"/>
      <c r="H32" s="13" t="str">
        <f t="shared" si="8"/>
        <v/>
      </c>
      <c r="I32" s="23"/>
      <c r="J32" s="24"/>
      <c r="K32" s="25" t="str">
        <f t="shared" si="6"/>
        <v/>
      </c>
      <c r="N32" s="59"/>
      <c r="O32" s="13" t="str">
        <f t="shared" si="9"/>
        <v/>
      </c>
      <c r="P32" s="23"/>
      <c r="Q32" s="24"/>
      <c r="R32" s="25" t="str">
        <f t="shared" si="7"/>
        <v/>
      </c>
      <c r="S32" s="94"/>
    </row>
    <row r="33" spans="2:19" ht="12.75" customHeight="1" outlineLevel="1" x14ac:dyDescent="0.25">
      <c r="B33" s="176"/>
      <c r="C33" s="12"/>
      <c r="D33" s="246"/>
      <c r="E33" s="248"/>
      <c r="F33" s="255"/>
      <c r="G33" s="66"/>
      <c r="H33" s="13" t="str">
        <f t="shared" si="8"/>
        <v/>
      </c>
      <c r="I33" s="23"/>
      <c r="J33" s="24"/>
      <c r="K33" s="25" t="str">
        <f t="shared" si="6"/>
        <v/>
      </c>
      <c r="N33" s="66"/>
      <c r="O33" s="13" t="str">
        <f t="shared" si="9"/>
        <v/>
      </c>
      <c r="P33" s="23"/>
      <c r="Q33" s="24"/>
      <c r="R33" s="25" t="str">
        <f t="shared" si="7"/>
        <v/>
      </c>
      <c r="S33" s="94"/>
    </row>
    <row r="34" spans="2:19" ht="12.75" customHeight="1" outlineLevel="1" x14ac:dyDescent="0.25">
      <c r="B34" s="176"/>
      <c r="C34" s="12"/>
      <c r="D34" s="246"/>
      <c r="E34" s="248"/>
      <c r="F34" s="255"/>
      <c r="G34" s="66"/>
      <c r="H34" s="13" t="str">
        <f t="shared" si="8"/>
        <v/>
      </c>
      <c r="I34" s="23"/>
      <c r="J34" s="24"/>
      <c r="K34" s="25" t="str">
        <f t="shared" si="6"/>
        <v/>
      </c>
      <c r="N34" s="66"/>
      <c r="O34" s="13" t="str">
        <f t="shared" si="9"/>
        <v/>
      </c>
      <c r="P34" s="23"/>
      <c r="Q34" s="24"/>
      <c r="R34" s="25" t="str">
        <f t="shared" si="7"/>
        <v/>
      </c>
      <c r="S34" s="94"/>
    </row>
    <row r="35" spans="2:19" ht="12.75" customHeight="1" outlineLevel="1" x14ac:dyDescent="0.25">
      <c r="B35" s="176"/>
      <c r="C35" s="12"/>
      <c r="D35" s="246"/>
      <c r="E35" s="248"/>
      <c r="F35" s="255"/>
      <c r="G35" s="66"/>
      <c r="H35" s="13" t="str">
        <f t="shared" si="8"/>
        <v/>
      </c>
      <c r="I35" s="23"/>
      <c r="J35" s="24"/>
      <c r="K35" s="25" t="str">
        <f t="shared" si="6"/>
        <v/>
      </c>
      <c r="N35" s="66"/>
      <c r="O35" s="13" t="str">
        <f t="shared" si="9"/>
        <v/>
      </c>
      <c r="P35" s="23"/>
      <c r="Q35" s="24"/>
      <c r="R35" s="25" t="str">
        <f t="shared" si="7"/>
        <v/>
      </c>
      <c r="S35" s="94"/>
    </row>
    <row r="36" spans="2:19" ht="12.75" customHeight="1" outlineLevel="1" x14ac:dyDescent="0.25">
      <c r="B36" s="168"/>
      <c r="C36" s="27"/>
      <c r="D36" s="109"/>
      <c r="E36" s="39"/>
      <c r="F36" s="43"/>
      <c r="G36" s="60"/>
      <c r="H36" s="13" t="str">
        <f>IF(C36="","",IF(C36="Entrée",#REF!+G36,IF(C36="Sortie",#REF!-G36)))</f>
        <v/>
      </c>
      <c r="I36" s="30"/>
      <c r="J36" s="31"/>
      <c r="K36" s="25" t="str">
        <f t="shared" si="6"/>
        <v/>
      </c>
      <c r="N36" s="60"/>
      <c r="O36" s="29" t="str">
        <f>IF(C36="","",IF(C36="Entrée",#REF!+N36,IF(C36="Sortie",#REF!-N36)))</f>
        <v/>
      </c>
      <c r="P36" s="30"/>
      <c r="Q36" s="31"/>
      <c r="R36" s="32" t="str">
        <f t="shared" si="7"/>
        <v/>
      </c>
      <c r="S36" s="94"/>
    </row>
    <row r="37" spans="2:19" ht="6.6" customHeight="1" x14ac:dyDescent="0.25">
      <c r="B37" s="169"/>
      <c r="C37" s="6"/>
      <c r="D37" s="101"/>
      <c r="E37" s="6"/>
      <c r="F37" s="6"/>
      <c r="G37" s="6"/>
      <c r="H37" s="6"/>
      <c r="I37" s="6"/>
      <c r="J37" s="6"/>
      <c r="K37" s="6"/>
      <c r="N37" s="6"/>
      <c r="O37" s="6"/>
      <c r="P37" s="6"/>
      <c r="Q37" s="6"/>
      <c r="R37" s="6"/>
      <c r="S37" s="94"/>
    </row>
    <row r="38" spans="2:19" ht="26.1" customHeight="1" x14ac:dyDescent="0.25">
      <c r="B38" s="169"/>
      <c r="C38" s="6"/>
      <c r="D38" s="101"/>
      <c r="E38" s="6"/>
      <c r="F38" s="62" t="s">
        <v>18</v>
      </c>
      <c r="G38" s="33">
        <f>SUMIF(C26:C36,"Entrée",G26:G36)</f>
        <v>0</v>
      </c>
      <c r="H38" s="6"/>
      <c r="I38" s="6"/>
      <c r="J38" s="6"/>
      <c r="K38" s="6"/>
      <c r="L38" s="6"/>
      <c r="O38" s="15"/>
      <c r="P38" s="61"/>
      <c r="Q38" s="34" t="s">
        <v>20</v>
      </c>
      <c r="R38" s="33">
        <f>SUMIF(C26:C36,"Entrée",N26:N36)</f>
        <v>0</v>
      </c>
      <c r="S38" s="269"/>
    </row>
    <row r="39" spans="2:19" ht="26.1" customHeight="1" x14ac:dyDescent="0.25">
      <c r="B39" s="169"/>
      <c r="C39" s="6"/>
      <c r="E39" s="6"/>
      <c r="F39" s="62" t="s">
        <v>19</v>
      </c>
      <c r="G39" s="33">
        <f>SUMIF(C26:C36,"Sortie",G26:G36)</f>
        <v>0</v>
      </c>
      <c r="H39" s="6"/>
      <c r="I39" s="6"/>
      <c r="J39" s="6"/>
      <c r="K39" s="6"/>
      <c r="L39" s="6"/>
      <c r="O39" s="15"/>
      <c r="P39" s="61"/>
      <c r="Q39" s="34" t="s">
        <v>21</v>
      </c>
      <c r="R39" s="33">
        <f>SUMIF(C26:C36,"Sortie",N26:N36)</f>
        <v>0</v>
      </c>
      <c r="S39" s="269"/>
    </row>
    <row r="40" spans="2:19" ht="12.75" customHeight="1" x14ac:dyDescent="0.25">
      <c r="B40" s="169" t="s">
        <v>28</v>
      </c>
      <c r="J40" s="1"/>
      <c r="K40" s="1"/>
      <c r="Q40" s="1"/>
      <c r="R40" s="1"/>
    </row>
    <row r="41" spans="2:19" ht="12.75" customHeight="1" x14ac:dyDescent="0.25">
      <c r="J41" s="1"/>
      <c r="K41" s="1"/>
      <c r="Q41" s="1"/>
      <c r="R41" s="1"/>
    </row>
    <row r="42" spans="2:19" ht="12.75" customHeight="1" x14ac:dyDescent="0.25">
      <c r="J42" s="1"/>
      <c r="K42" s="1"/>
      <c r="Q42" s="1"/>
      <c r="R42" s="1"/>
    </row>
    <row r="43" spans="2:19" ht="12.75" customHeight="1" x14ac:dyDescent="0.25">
      <c r="J43" s="1"/>
      <c r="K43" s="1"/>
      <c r="Q43" s="1"/>
      <c r="R43" s="1"/>
    </row>
    <row r="44" spans="2:19" ht="12.75" customHeight="1" x14ac:dyDescent="0.25">
      <c r="J44" s="1"/>
      <c r="K44" s="1"/>
      <c r="Q44" s="1"/>
      <c r="R44" s="1"/>
    </row>
    <row r="45" spans="2:19" ht="12.75" customHeight="1" x14ac:dyDescent="0.25">
      <c r="J45" s="1"/>
      <c r="K45" s="1"/>
      <c r="Q45" s="1"/>
      <c r="R45" s="1"/>
    </row>
    <row r="46" spans="2:19" ht="12.75" customHeight="1" x14ac:dyDescent="0.25">
      <c r="J46" s="1"/>
      <c r="K46" s="1"/>
      <c r="Q46" s="1"/>
      <c r="R46" s="1"/>
    </row>
    <row r="47" spans="2:19" ht="12.75" customHeight="1" x14ac:dyDescent="0.25">
      <c r="J47" s="1"/>
      <c r="K47" s="1"/>
      <c r="Q47" s="1"/>
      <c r="R47" s="1"/>
    </row>
    <row r="48" spans="2:19" ht="12.75" customHeight="1" x14ac:dyDescent="0.25">
      <c r="J48" s="1"/>
      <c r="K48" s="1"/>
      <c r="Q48" s="1"/>
      <c r="R48" s="1"/>
    </row>
    <row r="49" spans="10:18" ht="12.75" customHeight="1" x14ac:dyDescent="0.25">
      <c r="J49" s="1"/>
      <c r="K49" s="1"/>
      <c r="Q49" s="1"/>
      <c r="R49" s="1"/>
    </row>
    <row r="50" spans="10:18" ht="12.75" customHeight="1" x14ac:dyDescent="0.25">
      <c r="J50" s="1"/>
      <c r="K50" s="1"/>
      <c r="Q50" s="1"/>
      <c r="R50" s="1"/>
    </row>
    <row r="51" spans="10:18" ht="12.75" customHeight="1" x14ac:dyDescent="0.25">
      <c r="J51" s="1"/>
      <c r="K51" s="1"/>
      <c r="Q51" s="1"/>
      <c r="R51" s="1"/>
    </row>
    <row r="52" spans="10:18" ht="12.75" customHeight="1" x14ac:dyDescent="0.25">
      <c r="J52" s="1"/>
      <c r="K52" s="1"/>
      <c r="Q52" s="1"/>
      <c r="R52" s="1"/>
    </row>
    <row r="53" spans="10:18" ht="12.75" customHeight="1" x14ac:dyDescent="0.25">
      <c r="J53" s="1"/>
      <c r="K53" s="1"/>
      <c r="Q53" s="1"/>
      <c r="R53" s="1"/>
    </row>
    <row r="54" spans="10:18" ht="12.75" customHeight="1" x14ac:dyDescent="0.25">
      <c r="J54" s="1"/>
      <c r="K54" s="1"/>
      <c r="Q54" s="1"/>
      <c r="R54" s="1"/>
    </row>
    <row r="55" spans="10:18" ht="12.75" customHeight="1" x14ac:dyDescent="0.25">
      <c r="J55" s="1"/>
      <c r="K55" s="1"/>
      <c r="Q55" s="1"/>
      <c r="R55" s="1"/>
    </row>
    <row r="56" spans="10:18" ht="12.75" customHeight="1" x14ac:dyDescent="0.25">
      <c r="J56" s="1"/>
      <c r="K56" s="1"/>
      <c r="Q56" s="1"/>
      <c r="R56" s="1"/>
    </row>
    <row r="57" spans="10:18" ht="12.75" customHeight="1" x14ac:dyDescent="0.25">
      <c r="J57" s="1"/>
      <c r="K57" s="1"/>
      <c r="Q57" s="1"/>
      <c r="R57" s="1"/>
    </row>
    <row r="58" spans="10:18" ht="12.75" customHeight="1" x14ac:dyDescent="0.25">
      <c r="J58" s="1"/>
      <c r="K58" s="1"/>
      <c r="Q58" s="1"/>
      <c r="R58" s="1"/>
    </row>
    <row r="59" spans="10:18" ht="12.75" customHeight="1" x14ac:dyDescent="0.25">
      <c r="J59" s="1"/>
      <c r="K59" s="1"/>
      <c r="Q59" s="1"/>
      <c r="R59" s="1"/>
    </row>
    <row r="60" spans="10:18" ht="12.75" customHeight="1" x14ac:dyDescent="0.25">
      <c r="J60" s="1"/>
      <c r="K60" s="1"/>
      <c r="Q60" s="1"/>
      <c r="R60" s="1"/>
    </row>
    <row r="61" spans="10:18" ht="12.75" customHeight="1" x14ac:dyDescent="0.25">
      <c r="J61" s="1"/>
      <c r="K61" s="1"/>
      <c r="Q61" s="1"/>
      <c r="R61" s="1"/>
    </row>
    <row r="62" spans="10:18" ht="12.75" customHeight="1" x14ac:dyDescent="0.25">
      <c r="J62" s="1"/>
      <c r="K62" s="1"/>
      <c r="Q62" s="1"/>
      <c r="R62" s="1"/>
    </row>
    <row r="63" spans="10:18" ht="12.75" customHeight="1" x14ac:dyDescent="0.25">
      <c r="J63" s="1"/>
      <c r="K63" s="1"/>
      <c r="Q63" s="1"/>
      <c r="R63" s="1"/>
    </row>
    <row r="64" spans="10:18" ht="12.75" customHeight="1" x14ac:dyDescent="0.25">
      <c r="J64" s="1"/>
      <c r="K64" s="1"/>
      <c r="Q64" s="1"/>
      <c r="R64" s="1"/>
    </row>
    <row r="65" spans="10:18" ht="12.75" customHeight="1" x14ac:dyDescent="0.25">
      <c r="J65" s="1"/>
      <c r="K65" s="1"/>
      <c r="Q65" s="1"/>
      <c r="R65" s="1"/>
    </row>
    <row r="66" spans="10:18" ht="12.75" customHeight="1" x14ac:dyDescent="0.25">
      <c r="J66" s="1"/>
      <c r="K66" s="1"/>
      <c r="Q66" s="1"/>
      <c r="R66" s="1"/>
    </row>
    <row r="67" spans="10:18" ht="12.75" customHeight="1" x14ac:dyDescent="0.25">
      <c r="J67" s="1"/>
      <c r="K67" s="1"/>
      <c r="Q67" s="1"/>
      <c r="R67" s="1"/>
    </row>
    <row r="68" spans="10:18" ht="12.75" customHeight="1" x14ac:dyDescent="0.25">
      <c r="J68" s="1"/>
      <c r="K68" s="1"/>
      <c r="Q68" s="1"/>
      <c r="R68" s="1"/>
    </row>
    <row r="69" spans="10:18" ht="12.75" customHeight="1" x14ac:dyDescent="0.25">
      <c r="J69" s="1"/>
      <c r="K69" s="1"/>
      <c r="Q69" s="1"/>
      <c r="R69" s="1"/>
    </row>
    <row r="70" spans="10:18" ht="12.75" customHeight="1" x14ac:dyDescent="0.25">
      <c r="J70" s="1"/>
      <c r="K70" s="1"/>
      <c r="Q70" s="1"/>
      <c r="R70" s="1"/>
    </row>
    <row r="71" spans="10:18" ht="12.75" customHeight="1" x14ac:dyDescent="0.25">
      <c r="J71" s="1"/>
      <c r="K71" s="1"/>
      <c r="Q71" s="1"/>
      <c r="R71" s="1"/>
    </row>
    <row r="72" spans="10:18" ht="12.75" customHeight="1" x14ac:dyDescent="0.25">
      <c r="J72" s="1"/>
      <c r="K72" s="1"/>
      <c r="Q72" s="1"/>
      <c r="R72" s="1"/>
    </row>
    <row r="73" spans="10:18" ht="12.75" customHeight="1" x14ac:dyDescent="0.25">
      <c r="J73" s="1"/>
      <c r="K73" s="1"/>
      <c r="Q73" s="1"/>
      <c r="R73" s="1"/>
    </row>
    <row r="74" spans="10:18" ht="12.75" customHeight="1" x14ac:dyDescent="0.25">
      <c r="J74" s="1"/>
      <c r="K74" s="1"/>
      <c r="Q74" s="1"/>
      <c r="R74" s="1"/>
    </row>
    <row r="75" spans="10:18" ht="12.75" customHeight="1" x14ac:dyDescent="0.25">
      <c r="J75" s="1"/>
      <c r="K75" s="1"/>
      <c r="Q75" s="1"/>
      <c r="R75" s="1"/>
    </row>
    <row r="76" spans="10:18" ht="12.75" customHeight="1" x14ac:dyDescent="0.25">
      <c r="J76" s="1"/>
      <c r="K76" s="1"/>
      <c r="Q76" s="1"/>
      <c r="R76" s="1"/>
    </row>
    <row r="77" spans="10:18" ht="12.75" customHeight="1" x14ac:dyDescent="0.25">
      <c r="J77" s="1"/>
      <c r="K77" s="1"/>
      <c r="Q77" s="1"/>
      <c r="R77" s="1"/>
    </row>
    <row r="78" spans="10:18" ht="12.75" customHeight="1" x14ac:dyDescent="0.25">
      <c r="J78" s="1"/>
      <c r="K78" s="1"/>
      <c r="Q78" s="1"/>
      <c r="R78" s="1"/>
    </row>
    <row r="79" spans="10:18" ht="12.75" customHeight="1" x14ac:dyDescent="0.25">
      <c r="J79" s="1"/>
      <c r="K79" s="1"/>
      <c r="Q79" s="1"/>
      <c r="R79" s="1"/>
    </row>
    <row r="80" spans="10:18" ht="12.75" customHeight="1" x14ac:dyDescent="0.25">
      <c r="J80" s="1"/>
      <c r="K80" s="1"/>
      <c r="Q80" s="1"/>
      <c r="R80" s="1"/>
    </row>
    <row r="81" spans="10:18" ht="12.75" customHeight="1" x14ac:dyDescent="0.25">
      <c r="J81" s="1"/>
      <c r="K81" s="1"/>
      <c r="Q81" s="1"/>
      <c r="R81" s="1"/>
    </row>
    <row r="82" spans="10:18" ht="12.75" customHeight="1" x14ac:dyDescent="0.25">
      <c r="J82" s="1"/>
      <c r="K82" s="1"/>
      <c r="Q82" s="1"/>
      <c r="R82" s="1"/>
    </row>
    <row r="83" spans="10:18" ht="12.75" customHeight="1" x14ac:dyDescent="0.25">
      <c r="J83" s="1"/>
      <c r="K83" s="1"/>
      <c r="Q83" s="1"/>
      <c r="R83" s="1"/>
    </row>
    <row r="84" spans="10:18" ht="12.75" customHeight="1" x14ac:dyDescent="0.25">
      <c r="J84" s="1"/>
      <c r="K84" s="1"/>
      <c r="Q84" s="1"/>
      <c r="R84" s="1"/>
    </row>
    <row r="85" spans="10:18" ht="12.75" customHeight="1" x14ac:dyDescent="0.25">
      <c r="J85" s="1"/>
      <c r="K85" s="1"/>
      <c r="Q85" s="1"/>
      <c r="R85" s="1"/>
    </row>
    <row r="86" spans="10:18" ht="12.75" customHeight="1" x14ac:dyDescent="0.25">
      <c r="J86" s="1"/>
      <c r="K86" s="1"/>
      <c r="Q86" s="1"/>
      <c r="R86" s="1"/>
    </row>
    <row r="87" spans="10:18" ht="12.75" customHeight="1" x14ac:dyDescent="0.25">
      <c r="J87" s="1"/>
      <c r="K87" s="1"/>
      <c r="Q87" s="1"/>
      <c r="R87" s="1"/>
    </row>
    <row r="88" spans="10:18" ht="12.75" customHeight="1" x14ac:dyDescent="0.25">
      <c r="J88" s="1"/>
      <c r="K88" s="1"/>
      <c r="Q88" s="1"/>
      <c r="R88" s="1"/>
    </row>
    <row r="89" spans="10:18" ht="12.75" customHeight="1" x14ac:dyDescent="0.25">
      <c r="J89" s="1"/>
      <c r="K89" s="1"/>
      <c r="Q89" s="1"/>
      <c r="R89" s="1"/>
    </row>
    <row r="90" spans="10:18" ht="12.75" customHeight="1" x14ac:dyDescent="0.25">
      <c r="J90" s="1"/>
      <c r="K90" s="1"/>
      <c r="Q90" s="1"/>
      <c r="R90" s="1"/>
    </row>
    <row r="91" spans="10:18" ht="12.75" customHeight="1" x14ac:dyDescent="0.25">
      <c r="J91" s="1"/>
      <c r="K91" s="1"/>
      <c r="Q91" s="1"/>
      <c r="R91" s="1"/>
    </row>
    <row r="92" spans="10:18" ht="12.75" customHeight="1" x14ac:dyDescent="0.25">
      <c r="J92" s="1"/>
      <c r="K92" s="1"/>
      <c r="Q92" s="1"/>
      <c r="R92" s="1"/>
    </row>
    <row r="93" spans="10:18" ht="12.75" customHeight="1" x14ac:dyDescent="0.25">
      <c r="J93" s="1"/>
      <c r="K93" s="1"/>
      <c r="Q93" s="1"/>
      <c r="R93" s="1"/>
    </row>
    <row r="94" spans="10:18" ht="12.75" customHeight="1" x14ac:dyDescent="0.25">
      <c r="J94" s="1"/>
      <c r="K94" s="1"/>
      <c r="Q94" s="1"/>
      <c r="R94" s="1"/>
    </row>
    <row r="95" spans="10:18" ht="12.75" customHeight="1" x14ac:dyDescent="0.25">
      <c r="J95" s="1"/>
      <c r="K95" s="1"/>
      <c r="Q95" s="1"/>
      <c r="R95" s="1"/>
    </row>
    <row r="96" spans="10:18" ht="12.75" customHeight="1" x14ac:dyDescent="0.25">
      <c r="J96" s="1"/>
      <c r="K96" s="1"/>
      <c r="Q96" s="1"/>
      <c r="R96" s="1"/>
    </row>
    <row r="97" spans="10:18" ht="12.75" customHeight="1" x14ac:dyDescent="0.25">
      <c r="J97" s="1"/>
      <c r="K97" s="1"/>
      <c r="Q97" s="1"/>
      <c r="R97" s="1"/>
    </row>
    <row r="98" spans="10:18" ht="12.75" customHeight="1" x14ac:dyDescent="0.25">
      <c r="J98" s="1"/>
      <c r="K98" s="1"/>
      <c r="Q98" s="1"/>
      <c r="R98" s="1"/>
    </row>
    <row r="99" spans="10:18" ht="12.75" customHeight="1" x14ac:dyDescent="0.25">
      <c r="J99" s="1"/>
      <c r="K99" s="1"/>
      <c r="Q99" s="1"/>
      <c r="R99" s="1"/>
    </row>
    <row r="100" spans="10:18" ht="12.75" customHeight="1" x14ac:dyDescent="0.25">
      <c r="J100" s="1"/>
      <c r="K100" s="1"/>
      <c r="Q100" s="1"/>
      <c r="R100" s="1"/>
    </row>
    <row r="101" spans="10:18" ht="12.75" customHeight="1" x14ac:dyDescent="0.25">
      <c r="J101" s="1"/>
      <c r="K101" s="1"/>
      <c r="Q101" s="1"/>
      <c r="R101" s="1"/>
    </row>
    <row r="102" spans="10:18" ht="12.75" customHeight="1" x14ac:dyDescent="0.25">
      <c r="J102" s="1"/>
      <c r="K102" s="1"/>
      <c r="Q102" s="1"/>
      <c r="R102" s="1"/>
    </row>
    <row r="103" spans="10:18" ht="12.75" customHeight="1" x14ac:dyDescent="0.25">
      <c r="J103" s="1"/>
      <c r="K103" s="1"/>
      <c r="Q103" s="1"/>
      <c r="R103" s="1"/>
    </row>
    <row r="104" spans="10:18" ht="12.75" customHeight="1" x14ac:dyDescent="0.25">
      <c r="J104" s="1"/>
      <c r="K104" s="1"/>
      <c r="Q104" s="1"/>
      <c r="R104" s="1"/>
    </row>
    <row r="105" spans="10:18" ht="12.75" customHeight="1" x14ac:dyDescent="0.25">
      <c r="J105" s="1"/>
      <c r="K105" s="1"/>
      <c r="Q105" s="1"/>
      <c r="R105" s="1"/>
    </row>
    <row r="106" spans="10:18" ht="12.75" customHeight="1" x14ac:dyDescent="0.25">
      <c r="J106" s="1"/>
      <c r="K106" s="1"/>
      <c r="Q106" s="1"/>
      <c r="R106" s="1"/>
    </row>
    <row r="107" spans="10:18" ht="12.75" customHeight="1" x14ac:dyDescent="0.25">
      <c r="J107" s="1"/>
      <c r="K107" s="1"/>
      <c r="Q107" s="1"/>
      <c r="R107" s="1"/>
    </row>
    <row r="108" spans="10:18" ht="12.75" customHeight="1" x14ac:dyDescent="0.25">
      <c r="J108" s="1"/>
      <c r="K108" s="1"/>
      <c r="Q108" s="1"/>
      <c r="R108" s="1"/>
    </row>
    <row r="109" spans="10:18" ht="12.75" customHeight="1" x14ac:dyDescent="0.25">
      <c r="J109" s="1"/>
      <c r="K109" s="1"/>
      <c r="Q109" s="1"/>
      <c r="R109" s="1"/>
    </row>
    <row r="110" spans="10:18" ht="12.75" customHeight="1" x14ac:dyDescent="0.25">
      <c r="J110" s="1"/>
      <c r="K110" s="1"/>
      <c r="Q110" s="1"/>
      <c r="R110" s="1"/>
    </row>
    <row r="111" spans="10:18" ht="12.75" customHeight="1" x14ac:dyDescent="0.25">
      <c r="J111" s="1"/>
      <c r="K111" s="1"/>
      <c r="Q111" s="1"/>
      <c r="R111" s="1"/>
    </row>
    <row r="112" spans="10:18" ht="12.75" customHeight="1" x14ac:dyDescent="0.25">
      <c r="J112" s="1"/>
      <c r="K112" s="1"/>
      <c r="Q112" s="1"/>
      <c r="R112" s="1"/>
    </row>
    <row r="113" spans="10:18" ht="12.75" customHeight="1" x14ac:dyDescent="0.25">
      <c r="J113" s="1"/>
      <c r="K113" s="1"/>
      <c r="Q113" s="1"/>
      <c r="R113" s="1"/>
    </row>
    <row r="114" spans="10:18" ht="12.75" customHeight="1" x14ac:dyDescent="0.25">
      <c r="J114" s="1"/>
      <c r="K114" s="1"/>
      <c r="Q114" s="1"/>
      <c r="R114" s="1"/>
    </row>
    <row r="115" spans="10:18" ht="12.75" customHeight="1" x14ac:dyDescent="0.25">
      <c r="J115" s="1"/>
      <c r="K115" s="1"/>
      <c r="Q115" s="1"/>
      <c r="R115" s="1"/>
    </row>
    <row r="116" spans="10:18" ht="12.75" customHeight="1" x14ac:dyDescent="0.25">
      <c r="J116" s="1"/>
      <c r="K116" s="1"/>
      <c r="Q116" s="1"/>
      <c r="R116" s="1"/>
    </row>
    <row r="117" spans="10:18" ht="12.75" customHeight="1" x14ac:dyDescent="0.25">
      <c r="J117" s="1"/>
      <c r="K117" s="1"/>
      <c r="Q117" s="1"/>
      <c r="R117" s="1"/>
    </row>
    <row r="118" spans="10:18" ht="12.75" customHeight="1" x14ac:dyDescent="0.25">
      <c r="J118" s="1"/>
      <c r="K118" s="1"/>
      <c r="Q118" s="1"/>
      <c r="R118" s="1"/>
    </row>
    <row r="119" spans="10:18" ht="12.75" customHeight="1" x14ac:dyDescent="0.25">
      <c r="J119" s="1"/>
      <c r="K119" s="1"/>
      <c r="Q119" s="1"/>
      <c r="R119" s="1"/>
    </row>
    <row r="120" spans="10:18" ht="12.75" customHeight="1" x14ac:dyDescent="0.25">
      <c r="J120" s="1"/>
      <c r="K120" s="1"/>
      <c r="Q120" s="1"/>
      <c r="R120" s="1"/>
    </row>
    <row r="121" spans="10:18" ht="12.75" customHeight="1" x14ac:dyDescent="0.25">
      <c r="J121" s="1"/>
      <c r="K121" s="1"/>
      <c r="Q121" s="1"/>
      <c r="R121" s="1"/>
    </row>
    <row r="122" spans="10:18" ht="12.75" customHeight="1" x14ac:dyDescent="0.25">
      <c r="J122" s="1"/>
      <c r="K122" s="1"/>
      <c r="Q122" s="1"/>
      <c r="R122" s="1"/>
    </row>
    <row r="123" spans="10:18" ht="12.75" customHeight="1" x14ac:dyDescent="0.25">
      <c r="J123" s="1"/>
      <c r="K123" s="1"/>
      <c r="Q123" s="1"/>
      <c r="R123" s="1"/>
    </row>
    <row r="124" spans="10:18" ht="12.75" customHeight="1" x14ac:dyDescent="0.25">
      <c r="J124" s="1"/>
      <c r="K124" s="1"/>
      <c r="Q124" s="1"/>
      <c r="R124" s="1"/>
    </row>
    <row r="125" spans="10:18" ht="12.75" customHeight="1" x14ac:dyDescent="0.25">
      <c r="J125" s="1"/>
      <c r="K125" s="1"/>
      <c r="Q125" s="1"/>
      <c r="R125" s="1"/>
    </row>
    <row r="126" spans="10:18" ht="12.75" customHeight="1" x14ac:dyDescent="0.25">
      <c r="J126" s="1"/>
      <c r="K126" s="1"/>
      <c r="Q126" s="1"/>
      <c r="R126" s="1"/>
    </row>
    <row r="127" spans="10:18" ht="12.75" customHeight="1" x14ac:dyDescent="0.25">
      <c r="J127" s="1"/>
      <c r="K127" s="1"/>
      <c r="Q127" s="1"/>
      <c r="R127" s="1"/>
    </row>
    <row r="128" spans="10:18" ht="12.75" customHeight="1" x14ac:dyDescent="0.25">
      <c r="J128" s="1"/>
      <c r="K128" s="1"/>
      <c r="Q128" s="1"/>
      <c r="R128" s="1"/>
    </row>
    <row r="129" spans="10:18" ht="12.75" customHeight="1" x14ac:dyDescent="0.25">
      <c r="J129" s="1"/>
      <c r="K129" s="1"/>
      <c r="Q129" s="1"/>
      <c r="R129" s="1"/>
    </row>
    <row r="130" spans="10:18" ht="12.75" customHeight="1" x14ac:dyDescent="0.25">
      <c r="J130" s="1"/>
      <c r="K130" s="1"/>
      <c r="Q130" s="1"/>
      <c r="R130" s="1"/>
    </row>
    <row r="131" spans="10:18" ht="12.75" customHeight="1" x14ac:dyDescent="0.25">
      <c r="J131" s="1"/>
      <c r="K131" s="1"/>
      <c r="Q131" s="1"/>
      <c r="R131" s="1"/>
    </row>
    <row r="132" spans="10:18" ht="12.75" customHeight="1" x14ac:dyDescent="0.25">
      <c r="J132" s="1"/>
      <c r="K132" s="1"/>
      <c r="Q132" s="1"/>
      <c r="R132" s="1"/>
    </row>
    <row r="133" spans="10:18" ht="12.75" customHeight="1" x14ac:dyDescent="0.25">
      <c r="J133" s="1"/>
      <c r="K133" s="1"/>
      <c r="Q133" s="1"/>
      <c r="R133" s="1"/>
    </row>
    <row r="134" spans="10:18" ht="12.75" customHeight="1" x14ac:dyDescent="0.25">
      <c r="J134" s="1"/>
      <c r="K134" s="1"/>
      <c r="Q134" s="1"/>
      <c r="R134" s="1"/>
    </row>
    <row r="135" spans="10:18" ht="12.75" customHeight="1" x14ac:dyDescent="0.25">
      <c r="J135" s="1"/>
      <c r="K135" s="1"/>
      <c r="Q135" s="1"/>
      <c r="R135" s="1"/>
    </row>
    <row r="136" spans="10:18" ht="12.75" customHeight="1" x14ac:dyDescent="0.25">
      <c r="J136" s="1"/>
      <c r="K136" s="1"/>
      <c r="Q136" s="1"/>
      <c r="R136" s="1"/>
    </row>
    <row r="137" spans="10:18" ht="12.75" customHeight="1" x14ac:dyDescent="0.25">
      <c r="J137" s="1"/>
      <c r="K137" s="1"/>
      <c r="Q137" s="1"/>
      <c r="R137" s="1"/>
    </row>
    <row r="138" spans="10:18" ht="12.75" customHeight="1" x14ac:dyDescent="0.25">
      <c r="J138" s="1"/>
      <c r="K138" s="1"/>
      <c r="Q138" s="1"/>
      <c r="R138" s="1"/>
    </row>
    <row r="139" spans="10:18" ht="12.75" customHeight="1" x14ac:dyDescent="0.25">
      <c r="J139" s="1"/>
      <c r="K139" s="1"/>
      <c r="Q139" s="1"/>
      <c r="R139" s="1"/>
    </row>
    <row r="140" spans="10:18" ht="12.75" customHeight="1" x14ac:dyDescent="0.25">
      <c r="J140" s="1"/>
      <c r="K140" s="1"/>
      <c r="Q140" s="1"/>
      <c r="R140" s="1"/>
    </row>
    <row r="141" spans="10:18" ht="12.75" customHeight="1" x14ac:dyDescent="0.25">
      <c r="J141" s="1"/>
      <c r="K141" s="1"/>
      <c r="Q141" s="1"/>
      <c r="R141" s="1"/>
    </row>
    <row r="142" spans="10:18" ht="12.75" customHeight="1" x14ac:dyDescent="0.25">
      <c r="J142" s="1"/>
      <c r="K142" s="1"/>
      <c r="Q142" s="1"/>
      <c r="R142" s="1"/>
    </row>
    <row r="143" spans="10:18" ht="12.75" customHeight="1" x14ac:dyDescent="0.25">
      <c r="J143" s="1"/>
      <c r="K143" s="1"/>
      <c r="Q143" s="1"/>
      <c r="R143" s="1"/>
    </row>
    <row r="144" spans="10:18" ht="12.75" customHeight="1" x14ac:dyDescent="0.25">
      <c r="J144" s="1"/>
      <c r="K144" s="1"/>
      <c r="Q144" s="1"/>
      <c r="R144" s="1"/>
    </row>
    <row r="145" spans="10:18" ht="12.75" customHeight="1" x14ac:dyDescent="0.25">
      <c r="J145" s="1"/>
      <c r="K145" s="1"/>
      <c r="Q145" s="1"/>
      <c r="R145" s="1"/>
    </row>
    <row r="146" spans="10:18" ht="12.75" customHeight="1" x14ac:dyDescent="0.25">
      <c r="J146" s="1"/>
      <c r="K146" s="1"/>
      <c r="Q146" s="1"/>
      <c r="R146" s="1"/>
    </row>
    <row r="147" spans="10:18" ht="12.75" customHeight="1" x14ac:dyDescent="0.25">
      <c r="J147" s="1"/>
      <c r="K147" s="1"/>
      <c r="Q147" s="1"/>
      <c r="R147" s="1"/>
    </row>
    <row r="148" spans="10:18" ht="12.75" customHeight="1" x14ac:dyDescent="0.25">
      <c r="J148" s="1"/>
      <c r="K148" s="1"/>
      <c r="Q148" s="1"/>
      <c r="R148" s="1"/>
    </row>
    <row r="149" spans="10:18" ht="12.75" customHeight="1" x14ac:dyDescent="0.25">
      <c r="J149" s="1"/>
      <c r="K149" s="1"/>
      <c r="Q149" s="1"/>
      <c r="R149" s="1"/>
    </row>
    <row r="150" spans="10:18" ht="12.75" customHeight="1" x14ac:dyDescent="0.25">
      <c r="J150" s="1"/>
      <c r="K150" s="1"/>
      <c r="Q150" s="1"/>
      <c r="R150" s="1"/>
    </row>
    <row r="151" spans="10:18" ht="12.75" customHeight="1" x14ac:dyDescent="0.25">
      <c r="J151" s="1"/>
      <c r="K151" s="1"/>
      <c r="Q151" s="1"/>
      <c r="R151" s="1"/>
    </row>
    <row r="152" spans="10:18" ht="12.75" customHeight="1" x14ac:dyDescent="0.25">
      <c r="J152" s="1"/>
      <c r="K152" s="1"/>
      <c r="Q152" s="1"/>
      <c r="R152" s="1"/>
    </row>
    <row r="153" spans="10:18" ht="12.75" customHeight="1" x14ac:dyDescent="0.25">
      <c r="J153" s="1"/>
      <c r="K153" s="1"/>
      <c r="Q153" s="1"/>
      <c r="R153" s="1"/>
    </row>
    <row r="154" spans="10:18" ht="12.75" customHeight="1" x14ac:dyDescent="0.25">
      <c r="J154" s="1"/>
      <c r="K154" s="1"/>
      <c r="Q154" s="1"/>
      <c r="R154" s="1"/>
    </row>
    <row r="155" spans="10:18" ht="12.75" customHeight="1" x14ac:dyDescent="0.25">
      <c r="J155" s="1"/>
      <c r="K155" s="1"/>
      <c r="Q155" s="1"/>
      <c r="R155" s="1"/>
    </row>
    <row r="156" spans="10:18" ht="12.75" customHeight="1" x14ac:dyDescent="0.25">
      <c r="J156" s="1"/>
      <c r="K156" s="1"/>
      <c r="Q156" s="1"/>
      <c r="R156" s="1"/>
    </row>
    <row r="157" spans="10:18" ht="12.75" customHeight="1" x14ac:dyDescent="0.25">
      <c r="J157" s="1"/>
      <c r="K157" s="1"/>
      <c r="Q157" s="1"/>
      <c r="R157" s="1"/>
    </row>
    <row r="158" spans="10:18" ht="12.75" customHeight="1" x14ac:dyDescent="0.25">
      <c r="J158" s="1"/>
      <c r="K158" s="1"/>
      <c r="Q158" s="1"/>
      <c r="R158" s="1"/>
    </row>
    <row r="159" spans="10:18" ht="12.75" customHeight="1" x14ac:dyDescent="0.25">
      <c r="J159" s="1"/>
      <c r="K159" s="1"/>
      <c r="Q159" s="1"/>
      <c r="R159" s="1"/>
    </row>
    <row r="160" spans="10:18" ht="12.75" customHeight="1" x14ac:dyDescent="0.25">
      <c r="J160" s="1"/>
      <c r="K160" s="1"/>
      <c r="Q160" s="1"/>
      <c r="R160" s="1"/>
    </row>
    <row r="161" spans="10:18" ht="12.75" customHeight="1" x14ac:dyDescent="0.25">
      <c r="J161" s="1"/>
      <c r="K161" s="1"/>
      <c r="Q161" s="1"/>
      <c r="R161" s="1"/>
    </row>
    <row r="162" spans="10:18" ht="12.75" customHeight="1" x14ac:dyDescent="0.25">
      <c r="J162" s="1"/>
      <c r="K162" s="1"/>
      <c r="Q162" s="1"/>
      <c r="R162" s="1"/>
    </row>
    <row r="163" spans="10:18" ht="12.75" customHeight="1" x14ac:dyDescent="0.25">
      <c r="J163" s="1"/>
      <c r="K163" s="1"/>
      <c r="Q163" s="1"/>
      <c r="R163" s="1"/>
    </row>
    <row r="164" spans="10:18" ht="12.75" customHeight="1" x14ac:dyDescent="0.25">
      <c r="J164" s="1"/>
      <c r="K164" s="1"/>
      <c r="Q164" s="1"/>
      <c r="R164" s="1"/>
    </row>
    <row r="165" spans="10:18" ht="12.75" customHeight="1" x14ac:dyDescent="0.25">
      <c r="J165" s="1"/>
      <c r="K165" s="1"/>
      <c r="Q165" s="1"/>
      <c r="R165" s="1"/>
    </row>
    <row r="166" spans="10:18" ht="12.75" customHeight="1" x14ac:dyDescent="0.25">
      <c r="J166" s="1"/>
      <c r="K166" s="1"/>
      <c r="Q166" s="1"/>
      <c r="R166" s="1"/>
    </row>
    <row r="167" spans="10:18" ht="12.75" customHeight="1" x14ac:dyDescent="0.25">
      <c r="J167" s="1"/>
      <c r="K167" s="1"/>
      <c r="Q167" s="1"/>
      <c r="R167" s="1"/>
    </row>
    <row r="168" spans="10:18" ht="12.75" customHeight="1" x14ac:dyDescent="0.25">
      <c r="J168" s="1"/>
      <c r="K168" s="1"/>
      <c r="Q168" s="1"/>
      <c r="R168" s="1"/>
    </row>
    <row r="169" spans="10:18" ht="12.75" customHeight="1" x14ac:dyDescent="0.25">
      <c r="J169" s="1"/>
      <c r="K169" s="1"/>
      <c r="Q169" s="1"/>
      <c r="R169" s="1"/>
    </row>
    <row r="170" spans="10:18" ht="12.75" customHeight="1" x14ac:dyDescent="0.25">
      <c r="J170" s="1"/>
      <c r="K170" s="1"/>
      <c r="Q170" s="1"/>
      <c r="R170" s="1"/>
    </row>
    <row r="171" spans="10:18" ht="12.75" customHeight="1" x14ac:dyDescent="0.25">
      <c r="J171" s="1"/>
      <c r="K171" s="1"/>
      <c r="Q171" s="1"/>
      <c r="R171" s="1"/>
    </row>
    <row r="172" spans="10:18" ht="12.75" customHeight="1" x14ac:dyDescent="0.25">
      <c r="J172" s="1"/>
      <c r="K172" s="1"/>
      <c r="Q172" s="1"/>
      <c r="R172" s="1"/>
    </row>
    <row r="173" spans="10:18" ht="12.75" customHeight="1" x14ac:dyDescent="0.25">
      <c r="J173" s="1"/>
      <c r="K173" s="1"/>
      <c r="Q173" s="1"/>
      <c r="R173" s="1"/>
    </row>
    <row r="174" spans="10:18" ht="12.75" customHeight="1" x14ac:dyDescent="0.25">
      <c r="J174" s="1"/>
      <c r="K174" s="1"/>
      <c r="Q174" s="1"/>
      <c r="R174" s="1"/>
    </row>
    <row r="175" spans="10:18" ht="12.75" customHeight="1" x14ac:dyDescent="0.25">
      <c r="J175" s="1"/>
      <c r="K175" s="1"/>
      <c r="Q175" s="1"/>
      <c r="R175" s="1"/>
    </row>
    <row r="176" spans="10:18" ht="12.75" customHeight="1" x14ac:dyDescent="0.25">
      <c r="J176" s="1"/>
      <c r="K176" s="1"/>
      <c r="Q176" s="1"/>
      <c r="R176" s="1"/>
    </row>
    <row r="177" spans="10:18" ht="12.75" customHeight="1" x14ac:dyDescent="0.25">
      <c r="J177" s="1"/>
      <c r="K177" s="1"/>
      <c r="Q177" s="1"/>
      <c r="R177" s="1"/>
    </row>
    <row r="178" spans="10:18" ht="12.75" customHeight="1" x14ac:dyDescent="0.25">
      <c r="J178" s="1"/>
      <c r="K178" s="1"/>
      <c r="Q178" s="1"/>
      <c r="R178" s="1"/>
    </row>
    <row r="179" spans="10:18" ht="12.75" customHeight="1" x14ac:dyDescent="0.25">
      <c r="J179" s="1"/>
      <c r="K179" s="1"/>
      <c r="Q179" s="1"/>
      <c r="R179" s="1"/>
    </row>
    <row r="180" spans="10:18" ht="12.75" customHeight="1" x14ac:dyDescent="0.25">
      <c r="J180" s="1"/>
      <c r="K180" s="1"/>
      <c r="Q180" s="1"/>
      <c r="R180" s="1"/>
    </row>
    <row r="181" spans="10:18" ht="12.75" customHeight="1" x14ac:dyDescent="0.25">
      <c r="J181" s="1"/>
      <c r="K181" s="1"/>
      <c r="Q181" s="1"/>
      <c r="R181" s="1"/>
    </row>
    <row r="182" spans="10:18" ht="12.75" customHeight="1" x14ac:dyDescent="0.25">
      <c r="J182" s="1"/>
      <c r="K182" s="1"/>
      <c r="Q182" s="1"/>
      <c r="R182" s="1"/>
    </row>
    <row r="183" spans="10:18" ht="12.75" customHeight="1" x14ac:dyDescent="0.25">
      <c r="J183" s="1"/>
      <c r="K183" s="1"/>
      <c r="Q183" s="1"/>
      <c r="R183" s="1"/>
    </row>
    <row r="184" spans="10:18" ht="12.75" customHeight="1" x14ac:dyDescent="0.25">
      <c r="J184" s="1"/>
      <c r="K184" s="1"/>
      <c r="Q184" s="1"/>
      <c r="R184" s="1"/>
    </row>
    <row r="185" spans="10:18" ht="12.75" customHeight="1" x14ac:dyDescent="0.25">
      <c r="J185" s="1"/>
      <c r="K185" s="1"/>
      <c r="Q185" s="1"/>
      <c r="R185" s="1"/>
    </row>
    <row r="186" spans="10:18" ht="12.75" customHeight="1" x14ac:dyDescent="0.25">
      <c r="J186" s="1"/>
      <c r="K186" s="1"/>
      <c r="Q186" s="1"/>
      <c r="R186" s="1"/>
    </row>
    <row r="187" spans="10:18" ht="12.75" customHeight="1" x14ac:dyDescent="0.25">
      <c r="J187" s="1"/>
      <c r="K187" s="1"/>
      <c r="Q187" s="1"/>
      <c r="R187" s="1"/>
    </row>
    <row r="188" spans="10:18" ht="12.75" customHeight="1" x14ac:dyDescent="0.25">
      <c r="J188" s="1"/>
      <c r="K188" s="1"/>
      <c r="Q188" s="1"/>
      <c r="R188" s="1"/>
    </row>
    <row r="189" spans="10:18" ht="12.75" customHeight="1" x14ac:dyDescent="0.25">
      <c r="J189" s="1"/>
      <c r="K189" s="1"/>
      <c r="Q189" s="1"/>
      <c r="R189" s="1"/>
    </row>
    <row r="190" spans="10:18" ht="12.75" customHeight="1" x14ac:dyDescent="0.25">
      <c r="J190" s="1"/>
      <c r="K190" s="1"/>
      <c r="Q190" s="1"/>
      <c r="R190" s="1"/>
    </row>
    <row r="191" spans="10:18" ht="12.75" customHeight="1" x14ac:dyDescent="0.25">
      <c r="J191" s="1"/>
      <c r="K191" s="1"/>
      <c r="Q191" s="1"/>
      <c r="R191" s="1"/>
    </row>
    <row r="192" spans="10:18" ht="12.75" customHeight="1" x14ac:dyDescent="0.25">
      <c r="J192" s="1"/>
      <c r="K192" s="1"/>
      <c r="Q192" s="1"/>
      <c r="R192" s="1"/>
    </row>
    <row r="193" spans="10:18" ht="12.75" customHeight="1" x14ac:dyDescent="0.25">
      <c r="J193" s="1"/>
      <c r="K193" s="1"/>
      <c r="Q193" s="1"/>
      <c r="R193" s="1"/>
    </row>
    <row r="194" spans="10:18" ht="12.75" customHeight="1" x14ac:dyDescent="0.25">
      <c r="J194" s="1"/>
      <c r="K194" s="1"/>
      <c r="Q194" s="1"/>
      <c r="R194" s="1"/>
    </row>
    <row r="195" spans="10:18" ht="12.75" customHeight="1" x14ac:dyDescent="0.25">
      <c r="J195" s="1"/>
      <c r="K195" s="1"/>
      <c r="Q195" s="1"/>
      <c r="R195" s="1"/>
    </row>
    <row r="196" spans="10:18" ht="12.75" customHeight="1" x14ac:dyDescent="0.25">
      <c r="J196" s="1"/>
      <c r="K196" s="1"/>
      <c r="Q196" s="1"/>
      <c r="R196" s="1"/>
    </row>
    <row r="197" spans="10:18" ht="12.75" customHeight="1" x14ac:dyDescent="0.25">
      <c r="J197" s="1"/>
      <c r="K197" s="1"/>
      <c r="Q197" s="1"/>
      <c r="R197" s="1"/>
    </row>
    <row r="198" spans="10:18" ht="12.75" customHeight="1" x14ac:dyDescent="0.25">
      <c r="J198" s="1"/>
      <c r="K198" s="1"/>
      <c r="Q198" s="1"/>
      <c r="R198" s="1"/>
    </row>
    <row r="199" spans="10:18" ht="12.75" customHeight="1" x14ac:dyDescent="0.25">
      <c r="J199" s="1"/>
      <c r="K199" s="1"/>
      <c r="Q199" s="1"/>
      <c r="R199" s="1"/>
    </row>
    <row r="200" spans="10:18" ht="12.75" customHeight="1" x14ac:dyDescent="0.25">
      <c r="J200" s="1"/>
      <c r="K200" s="1"/>
      <c r="Q200" s="1"/>
      <c r="R200" s="1"/>
    </row>
    <row r="201" spans="10:18" ht="12.75" customHeight="1" x14ac:dyDescent="0.25">
      <c r="J201" s="1"/>
      <c r="K201" s="1"/>
      <c r="Q201" s="1"/>
      <c r="R201" s="1"/>
    </row>
    <row r="202" spans="10:18" ht="12.75" customHeight="1" x14ac:dyDescent="0.25">
      <c r="J202" s="1"/>
      <c r="K202" s="1"/>
      <c r="Q202" s="1"/>
      <c r="R202" s="1"/>
    </row>
    <row r="203" spans="10:18" ht="12.75" customHeight="1" x14ac:dyDescent="0.25">
      <c r="J203" s="1"/>
      <c r="K203" s="1"/>
      <c r="Q203" s="1"/>
      <c r="R203" s="1"/>
    </row>
    <row r="204" spans="10:18" ht="12.75" customHeight="1" x14ac:dyDescent="0.25">
      <c r="J204" s="1"/>
      <c r="K204" s="1"/>
      <c r="Q204" s="1"/>
      <c r="R204" s="1"/>
    </row>
    <row r="205" spans="10:18" ht="12.75" customHeight="1" x14ac:dyDescent="0.25">
      <c r="J205" s="1"/>
      <c r="K205" s="1"/>
      <c r="Q205" s="1"/>
      <c r="R205" s="1"/>
    </row>
    <row r="206" spans="10:18" ht="12.75" customHeight="1" x14ac:dyDescent="0.25">
      <c r="J206" s="1"/>
      <c r="K206" s="1"/>
      <c r="Q206" s="1"/>
      <c r="R206" s="1"/>
    </row>
    <row r="207" spans="10:18" ht="12.75" customHeight="1" x14ac:dyDescent="0.25">
      <c r="J207" s="1"/>
      <c r="K207" s="1"/>
      <c r="Q207" s="1"/>
      <c r="R207" s="1"/>
    </row>
    <row r="208" spans="10:18" ht="12.75" customHeight="1" x14ac:dyDescent="0.25">
      <c r="J208" s="1"/>
      <c r="K208" s="1"/>
      <c r="Q208" s="1"/>
      <c r="R208" s="1"/>
    </row>
    <row r="209" spans="10:18" ht="12.75" customHeight="1" x14ac:dyDescent="0.25">
      <c r="J209" s="1"/>
      <c r="K209" s="1"/>
      <c r="Q209" s="1"/>
      <c r="R209" s="1"/>
    </row>
    <row r="210" spans="10:18" ht="12.75" customHeight="1" x14ac:dyDescent="0.25">
      <c r="J210" s="1"/>
      <c r="K210" s="1"/>
      <c r="Q210" s="1"/>
      <c r="R210" s="1"/>
    </row>
    <row r="211" spans="10:18" ht="12.75" customHeight="1" x14ac:dyDescent="0.25">
      <c r="J211" s="1"/>
      <c r="K211" s="1"/>
      <c r="Q211" s="1"/>
      <c r="R211" s="1"/>
    </row>
    <row r="212" spans="10:18" ht="12.75" customHeight="1" x14ac:dyDescent="0.25">
      <c r="J212" s="1"/>
      <c r="K212" s="1"/>
      <c r="Q212" s="1"/>
      <c r="R212" s="1"/>
    </row>
    <row r="213" spans="10:18" ht="12.75" customHeight="1" x14ac:dyDescent="0.25">
      <c r="J213" s="1"/>
      <c r="K213" s="1"/>
      <c r="Q213" s="1"/>
      <c r="R213" s="1"/>
    </row>
    <row r="214" spans="10:18" ht="12.75" customHeight="1" x14ac:dyDescent="0.25">
      <c r="J214" s="1"/>
      <c r="K214" s="1"/>
      <c r="Q214" s="1"/>
      <c r="R214" s="1"/>
    </row>
    <row r="215" spans="10:18" ht="12.75" customHeight="1" x14ac:dyDescent="0.25">
      <c r="J215" s="1"/>
      <c r="K215" s="1"/>
      <c r="Q215" s="1"/>
      <c r="R215" s="1"/>
    </row>
    <row r="216" spans="10:18" ht="12.75" customHeight="1" x14ac:dyDescent="0.25">
      <c r="J216" s="1"/>
      <c r="K216" s="1"/>
      <c r="Q216" s="1"/>
      <c r="R216" s="1"/>
    </row>
    <row r="217" spans="10:18" ht="12.75" customHeight="1" x14ac:dyDescent="0.25">
      <c r="J217" s="1"/>
      <c r="K217" s="1"/>
      <c r="Q217" s="1"/>
      <c r="R217" s="1"/>
    </row>
    <row r="218" spans="10:18" ht="12.75" customHeight="1" x14ac:dyDescent="0.25">
      <c r="J218" s="1"/>
      <c r="K218" s="1"/>
      <c r="Q218" s="1"/>
      <c r="R218" s="1"/>
    </row>
    <row r="219" spans="10:18" ht="12.75" customHeight="1" x14ac:dyDescent="0.25">
      <c r="J219" s="1"/>
      <c r="K219" s="1"/>
      <c r="Q219" s="1"/>
      <c r="R219" s="1"/>
    </row>
    <row r="220" spans="10:18" ht="12.75" customHeight="1" x14ac:dyDescent="0.25">
      <c r="J220" s="1"/>
      <c r="K220" s="1"/>
      <c r="Q220" s="1"/>
      <c r="R220" s="1"/>
    </row>
    <row r="221" spans="10:18" ht="12.75" customHeight="1" x14ac:dyDescent="0.25">
      <c r="J221" s="1"/>
      <c r="K221" s="1"/>
      <c r="Q221" s="1"/>
      <c r="R221" s="1"/>
    </row>
    <row r="222" spans="10:18" ht="12.75" customHeight="1" x14ac:dyDescent="0.25">
      <c r="J222" s="1"/>
      <c r="K222" s="1"/>
      <c r="Q222" s="1"/>
      <c r="R222" s="1"/>
    </row>
    <row r="223" spans="10:18" ht="12.75" customHeight="1" x14ac:dyDescent="0.25">
      <c r="J223" s="1"/>
      <c r="K223" s="1"/>
      <c r="Q223" s="1"/>
      <c r="R223" s="1"/>
    </row>
    <row r="224" spans="10:18" ht="12.75" customHeight="1" x14ac:dyDescent="0.25">
      <c r="J224" s="1"/>
      <c r="K224" s="1"/>
      <c r="Q224" s="1"/>
      <c r="R224" s="1"/>
    </row>
    <row r="225" spans="10:18" ht="12.75" customHeight="1" x14ac:dyDescent="0.25">
      <c r="J225" s="1"/>
      <c r="K225" s="1"/>
      <c r="Q225" s="1"/>
      <c r="R225" s="1"/>
    </row>
    <row r="226" spans="10:18" ht="12.75" customHeight="1" x14ac:dyDescent="0.25">
      <c r="J226" s="1"/>
      <c r="K226" s="1"/>
      <c r="Q226" s="1"/>
      <c r="R226" s="1"/>
    </row>
    <row r="227" spans="10:18" ht="12.75" customHeight="1" x14ac:dyDescent="0.25">
      <c r="J227" s="1"/>
      <c r="K227" s="1"/>
      <c r="Q227" s="1"/>
      <c r="R227" s="1"/>
    </row>
    <row r="228" spans="10:18" ht="12.75" customHeight="1" x14ac:dyDescent="0.25">
      <c r="J228" s="1"/>
      <c r="K228" s="1"/>
      <c r="Q228" s="1"/>
      <c r="R228" s="1"/>
    </row>
    <row r="229" spans="10:18" ht="12.75" customHeight="1" x14ac:dyDescent="0.25">
      <c r="J229" s="1"/>
      <c r="K229" s="1"/>
      <c r="Q229" s="1"/>
      <c r="R229" s="1"/>
    </row>
    <row r="230" spans="10:18" ht="12.75" customHeight="1" x14ac:dyDescent="0.25">
      <c r="J230" s="1"/>
      <c r="K230" s="1"/>
      <c r="Q230" s="1"/>
      <c r="R230" s="1"/>
    </row>
    <row r="231" spans="10:18" ht="12.75" customHeight="1" x14ac:dyDescent="0.25">
      <c r="J231" s="1"/>
      <c r="K231" s="1"/>
      <c r="Q231" s="1"/>
      <c r="R231" s="1"/>
    </row>
    <row r="232" spans="10:18" ht="12.75" customHeight="1" x14ac:dyDescent="0.25">
      <c r="J232" s="1"/>
      <c r="K232" s="1"/>
      <c r="Q232" s="1"/>
      <c r="R232" s="1"/>
    </row>
    <row r="233" spans="10:18" ht="12.75" customHeight="1" x14ac:dyDescent="0.25">
      <c r="J233" s="1"/>
      <c r="K233" s="1"/>
      <c r="Q233" s="1"/>
      <c r="R233" s="1"/>
    </row>
    <row r="234" spans="10:18" ht="12.75" customHeight="1" x14ac:dyDescent="0.25">
      <c r="J234" s="1"/>
      <c r="K234" s="1"/>
      <c r="Q234" s="1"/>
      <c r="R234" s="1"/>
    </row>
    <row r="235" spans="10:18" ht="12.75" customHeight="1" x14ac:dyDescent="0.25">
      <c r="J235" s="1"/>
      <c r="K235" s="1"/>
      <c r="Q235" s="1"/>
      <c r="R235" s="1"/>
    </row>
    <row r="236" spans="10:18" ht="12.75" customHeight="1" x14ac:dyDescent="0.25">
      <c r="J236" s="1"/>
      <c r="K236" s="1"/>
      <c r="Q236" s="1"/>
      <c r="R236" s="1"/>
    </row>
    <row r="237" spans="10:18" ht="12.75" customHeight="1" x14ac:dyDescent="0.25">
      <c r="J237" s="1"/>
      <c r="K237" s="1"/>
      <c r="Q237" s="1"/>
      <c r="R237" s="1"/>
    </row>
    <row r="238" spans="10:18" ht="12.75" customHeight="1" x14ac:dyDescent="0.25">
      <c r="J238" s="1"/>
      <c r="K238" s="1"/>
      <c r="Q238" s="1"/>
      <c r="R238" s="1"/>
    </row>
    <row r="239" spans="10:18" ht="12.75" customHeight="1" x14ac:dyDescent="0.25">
      <c r="J239" s="1"/>
      <c r="K239" s="1"/>
      <c r="Q239" s="1"/>
      <c r="R239" s="1"/>
    </row>
    <row r="240" spans="10:18" ht="12.75" customHeight="1" x14ac:dyDescent="0.25">
      <c r="J240" s="1"/>
      <c r="K240" s="1"/>
      <c r="Q240" s="1"/>
      <c r="R240" s="1"/>
    </row>
    <row r="241" spans="10:18" ht="12.75" customHeight="1" x14ac:dyDescent="0.25">
      <c r="J241" s="1"/>
      <c r="K241" s="1"/>
      <c r="Q241" s="1"/>
      <c r="R241" s="1"/>
    </row>
    <row r="242" spans="10:18" ht="12.75" customHeight="1" x14ac:dyDescent="0.25">
      <c r="J242" s="1"/>
      <c r="K242" s="1"/>
      <c r="Q242" s="1"/>
      <c r="R242" s="1"/>
    </row>
    <row r="243" spans="10:18" ht="12.75" customHeight="1" x14ac:dyDescent="0.25">
      <c r="J243" s="1"/>
      <c r="K243" s="1"/>
      <c r="Q243" s="1"/>
      <c r="R243" s="1"/>
    </row>
    <row r="244" spans="10:18" ht="12.75" customHeight="1" x14ac:dyDescent="0.25">
      <c r="J244" s="1"/>
      <c r="K244" s="1"/>
      <c r="Q244" s="1"/>
      <c r="R244" s="1"/>
    </row>
    <row r="245" spans="10:18" ht="12.75" customHeight="1" x14ac:dyDescent="0.25">
      <c r="J245" s="1"/>
      <c r="K245" s="1"/>
      <c r="Q245" s="1"/>
      <c r="R245" s="1"/>
    </row>
    <row r="246" spans="10:18" ht="12.75" customHeight="1" x14ac:dyDescent="0.25">
      <c r="J246" s="1"/>
      <c r="K246" s="1"/>
      <c r="Q246" s="1"/>
      <c r="R246" s="1"/>
    </row>
    <row r="247" spans="10:18" ht="12.75" customHeight="1" x14ac:dyDescent="0.25">
      <c r="J247" s="1"/>
      <c r="K247" s="1"/>
      <c r="Q247" s="1"/>
      <c r="R247" s="1"/>
    </row>
    <row r="248" spans="10:18" ht="12.75" customHeight="1" x14ac:dyDescent="0.25">
      <c r="J248" s="1"/>
      <c r="K248" s="1"/>
      <c r="Q248" s="1"/>
      <c r="R248" s="1"/>
    </row>
    <row r="249" spans="10:18" ht="12.75" customHeight="1" x14ac:dyDescent="0.25">
      <c r="J249" s="1"/>
      <c r="K249" s="1"/>
      <c r="Q249" s="1"/>
      <c r="R249" s="1"/>
    </row>
    <row r="250" spans="10:18" ht="12.75" customHeight="1" x14ac:dyDescent="0.25">
      <c r="J250" s="1"/>
      <c r="K250" s="1"/>
      <c r="Q250" s="1"/>
      <c r="R250" s="1"/>
    </row>
    <row r="251" spans="10:18" ht="12.75" customHeight="1" x14ac:dyDescent="0.25">
      <c r="J251" s="1"/>
      <c r="K251" s="1"/>
      <c r="Q251" s="1"/>
      <c r="R251" s="1"/>
    </row>
    <row r="252" spans="10:18" ht="12.75" customHeight="1" x14ac:dyDescent="0.25">
      <c r="J252" s="1"/>
      <c r="K252" s="1"/>
      <c r="Q252" s="1"/>
      <c r="R252" s="1"/>
    </row>
    <row r="253" spans="10:18" ht="12.75" customHeight="1" x14ac:dyDescent="0.25">
      <c r="J253" s="1"/>
      <c r="K253" s="1"/>
      <c r="Q253" s="1"/>
      <c r="R253" s="1"/>
    </row>
    <row r="254" spans="10:18" ht="12.75" customHeight="1" x14ac:dyDescent="0.25">
      <c r="J254" s="1"/>
      <c r="K254" s="1"/>
      <c r="Q254" s="1"/>
      <c r="R254" s="1"/>
    </row>
    <row r="255" spans="10:18" ht="12.75" customHeight="1" x14ac:dyDescent="0.25">
      <c r="J255" s="1"/>
      <c r="K255" s="1"/>
      <c r="Q255" s="1"/>
      <c r="R255" s="1"/>
    </row>
    <row r="256" spans="10:18" ht="12.75" customHeight="1" x14ac:dyDescent="0.25">
      <c r="J256" s="1"/>
      <c r="K256" s="1"/>
      <c r="Q256" s="1"/>
      <c r="R256" s="1"/>
    </row>
    <row r="257" spans="10:18" ht="12.75" customHeight="1" x14ac:dyDescent="0.25">
      <c r="J257" s="1"/>
      <c r="K257" s="1"/>
      <c r="Q257" s="1"/>
      <c r="R257" s="1"/>
    </row>
    <row r="258" spans="10:18" ht="12.75" customHeight="1" x14ac:dyDescent="0.25">
      <c r="J258" s="1"/>
      <c r="K258" s="1"/>
      <c r="Q258" s="1"/>
      <c r="R258" s="1"/>
    </row>
    <row r="259" spans="10:18" ht="12.75" customHeight="1" x14ac:dyDescent="0.25">
      <c r="J259" s="1"/>
      <c r="K259" s="1"/>
      <c r="Q259" s="1"/>
      <c r="R259" s="1"/>
    </row>
    <row r="260" spans="10:18" ht="12.75" customHeight="1" x14ac:dyDescent="0.25">
      <c r="J260" s="1"/>
      <c r="K260" s="1"/>
      <c r="Q260" s="1"/>
      <c r="R260" s="1"/>
    </row>
    <row r="261" spans="10:18" ht="12.75" customHeight="1" x14ac:dyDescent="0.25">
      <c r="J261" s="1"/>
      <c r="K261" s="1"/>
      <c r="Q261" s="1"/>
      <c r="R261" s="1"/>
    </row>
    <row r="262" spans="10:18" ht="12.75" customHeight="1" x14ac:dyDescent="0.25">
      <c r="J262" s="1"/>
      <c r="K262" s="1"/>
      <c r="Q262" s="1"/>
      <c r="R262" s="1"/>
    </row>
    <row r="263" spans="10:18" ht="12.75" customHeight="1" x14ac:dyDescent="0.25">
      <c r="J263" s="1"/>
      <c r="K263" s="1"/>
      <c r="Q263" s="1"/>
      <c r="R263" s="1"/>
    </row>
    <row r="264" spans="10:18" ht="12.75" customHeight="1" x14ac:dyDescent="0.25">
      <c r="J264" s="1"/>
      <c r="K264" s="1"/>
      <c r="Q264" s="1"/>
      <c r="R264" s="1"/>
    </row>
    <row r="265" spans="10:18" ht="12.75" customHeight="1" x14ac:dyDescent="0.25">
      <c r="J265" s="1"/>
      <c r="K265" s="1"/>
      <c r="Q265" s="1"/>
      <c r="R265" s="1"/>
    </row>
    <row r="266" spans="10:18" ht="12.75" customHeight="1" x14ac:dyDescent="0.25">
      <c r="J266" s="1"/>
      <c r="K266" s="1"/>
      <c r="Q266" s="1"/>
      <c r="R266" s="1"/>
    </row>
    <row r="267" spans="10:18" ht="12.75" customHeight="1" x14ac:dyDescent="0.25">
      <c r="J267" s="1"/>
      <c r="K267" s="1"/>
      <c r="Q267" s="1"/>
      <c r="R267" s="1"/>
    </row>
    <row r="268" spans="10:18" ht="12.75" customHeight="1" x14ac:dyDescent="0.25">
      <c r="J268" s="1"/>
      <c r="K268" s="1"/>
      <c r="Q268" s="1"/>
      <c r="R268" s="1"/>
    </row>
    <row r="269" spans="10:18" ht="12.75" customHeight="1" x14ac:dyDescent="0.25">
      <c r="J269" s="1"/>
      <c r="K269" s="1"/>
      <c r="Q269" s="1"/>
      <c r="R269" s="1"/>
    </row>
    <row r="270" spans="10:18" ht="12.75" customHeight="1" x14ac:dyDescent="0.25">
      <c r="J270" s="1"/>
      <c r="K270" s="1"/>
      <c r="Q270" s="1"/>
      <c r="R270" s="1"/>
    </row>
    <row r="271" spans="10:18" ht="12.75" customHeight="1" x14ac:dyDescent="0.25">
      <c r="J271" s="1"/>
      <c r="K271" s="1"/>
      <c r="Q271" s="1"/>
      <c r="R271" s="1"/>
    </row>
    <row r="272" spans="10:18" ht="12.75" customHeight="1" x14ac:dyDescent="0.25">
      <c r="J272" s="1"/>
      <c r="K272" s="1"/>
      <c r="Q272" s="1"/>
      <c r="R272" s="1"/>
    </row>
    <row r="273" spans="10:18" ht="12.75" customHeight="1" x14ac:dyDescent="0.25">
      <c r="J273" s="1"/>
      <c r="K273" s="1"/>
      <c r="Q273" s="1"/>
      <c r="R273" s="1"/>
    </row>
    <row r="274" spans="10:18" ht="12.75" customHeight="1" x14ac:dyDescent="0.25">
      <c r="J274" s="1"/>
      <c r="K274" s="1"/>
      <c r="Q274" s="1"/>
      <c r="R274" s="1"/>
    </row>
    <row r="275" spans="10:18" ht="12.75" customHeight="1" x14ac:dyDescent="0.25">
      <c r="J275" s="1"/>
      <c r="K275" s="1"/>
      <c r="Q275" s="1"/>
      <c r="R275" s="1"/>
    </row>
    <row r="276" spans="10:18" ht="12.75" customHeight="1" x14ac:dyDescent="0.25">
      <c r="J276" s="1"/>
      <c r="K276" s="1"/>
      <c r="Q276" s="1"/>
      <c r="R276" s="1"/>
    </row>
    <row r="277" spans="10:18" ht="12.75" customHeight="1" x14ac:dyDescent="0.25">
      <c r="J277" s="1"/>
      <c r="K277" s="1"/>
      <c r="Q277" s="1"/>
      <c r="R277" s="1"/>
    </row>
    <row r="278" spans="10:18" ht="12.75" customHeight="1" x14ac:dyDescent="0.25">
      <c r="J278" s="1"/>
      <c r="K278" s="1"/>
      <c r="Q278" s="1"/>
      <c r="R278" s="1"/>
    </row>
    <row r="279" spans="10:18" ht="12.75" customHeight="1" x14ac:dyDescent="0.25">
      <c r="J279" s="1"/>
      <c r="K279" s="1"/>
      <c r="Q279" s="1"/>
      <c r="R279" s="1"/>
    </row>
    <row r="280" spans="10:18" ht="12.75" customHeight="1" x14ac:dyDescent="0.25">
      <c r="J280" s="1"/>
      <c r="K280" s="1"/>
      <c r="Q280" s="1"/>
      <c r="R280" s="1"/>
    </row>
    <row r="281" spans="10:18" ht="12.75" customHeight="1" x14ac:dyDescent="0.25">
      <c r="J281" s="1"/>
      <c r="K281" s="1"/>
      <c r="Q281" s="1"/>
      <c r="R281" s="1"/>
    </row>
    <row r="282" spans="10:18" ht="12.75" customHeight="1" x14ac:dyDescent="0.25">
      <c r="J282" s="1"/>
      <c r="K282" s="1"/>
      <c r="Q282" s="1"/>
      <c r="R282" s="1"/>
    </row>
    <row r="283" spans="10:18" ht="12.75" customHeight="1" x14ac:dyDescent="0.25">
      <c r="J283" s="1"/>
      <c r="K283" s="1"/>
      <c r="Q283" s="1"/>
      <c r="R283" s="1"/>
    </row>
    <row r="284" spans="10:18" ht="12.75" customHeight="1" x14ac:dyDescent="0.25">
      <c r="J284" s="1"/>
      <c r="K284" s="1"/>
      <c r="Q284" s="1"/>
      <c r="R284" s="1"/>
    </row>
    <row r="285" spans="10:18" ht="12.75" customHeight="1" x14ac:dyDescent="0.25">
      <c r="J285" s="1"/>
      <c r="K285" s="1"/>
      <c r="Q285" s="1"/>
      <c r="R285" s="1"/>
    </row>
    <row r="286" spans="10:18" ht="12.75" customHeight="1" x14ac:dyDescent="0.25">
      <c r="J286" s="1"/>
      <c r="K286" s="1"/>
      <c r="Q286" s="1"/>
      <c r="R286" s="1"/>
    </row>
    <row r="287" spans="10:18" ht="12.75" customHeight="1" x14ac:dyDescent="0.25">
      <c r="J287" s="1"/>
      <c r="K287" s="1"/>
      <c r="Q287" s="1"/>
      <c r="R287" s="1"/>
    </row>
    <row r="288" spans="10:18" ht="12.75" customHeight="1" x14ac:dyDescent="0.25">
      <c r="J288" s="1"/>
      <c r="K288" s="1"/>
      <c r="Q288" s="1"/>
      <c r="R288" s="1"/>
    </row>
    <row r="289" spans="10:18" ht="12.75" customHeight="1" x14ac:dyDescent="0.25">
      <c r="J289" s="1"/>
      <c r="K289" s="1"/>
      <c r="Q289" s="1"/>
      <c r="R289" s="1"/>
    </row>
    <row r="290" spans="10:18" ht="12.75" customHeight="1" x14ac:dyDescent="0.25">
      <c r="J290" s="1"/>
      <c r="K290" s="1"/>
      <c r="Q290" s="1"/>
      <c r="R290" s="1"/>
    </row>
    <row r="291" spans="10:18" ht="12.75" customHeight="1" x14ac:dyDescent="0.25">
      <c r="J291" s="1"/>
      <c r="K291" s="1"/>
      <c r="Q291" s="1"/>
      <c r="R291" s="1"/>
    </row>
    <row r="292" spans="10:18" ht="12.75" customHeight="1" x14ac:dyDescent="0.25">
      <c r="J292" s="1"/>
      <c r="K292" s="1"/>
      <c r="Q292" s="1"/>
      <c r="R292" s="1"/>
    </row>
    <row r="293" spans="10:18" ht="12.75" customHeight="1" x14ac:dyDescent="0.25">
      <c r="J293" s="1"/>
      <c r="K293" s="1"/>
      <c r="Q293" s="1"/>
      <c r="R293" s="1"/>
    </row>
    <row r="294" spans="10:18" ht="12.75" customHeight="1" x14ac:dyDescent="0.25">
      <c r="J294" s="1"/>
      <c r="K294" s="1"/>
      <c r="Q294" s="1"/>
      <c r="R294" s="1"/>
    </row>
    <row r="295" spans="10:18" ht="12.75" customHeight="1" x14ac:dyDescent="0.25">
      <c r="J295" s="1"/>
      <c r="K295" s="1"/>
      <c r="Q295" s="1"/>
      <c r="R295" s="1"/>
    </row>
    <row r="296" spans="10:18" ht="12.75" customHeight="1" x14ac:dyDescent="0.25">
      <c r="J296" s="1"/>
      <c r="K296" s="1"/>
      <c r="Q296" s="1"/>
      <c r="R296" s="1"/>
    </row>
    <row r="297" spans="10:18" ht="12.75" customHeight="1" x14ac:dyDescent="0.25">
      <c r="J297" s="1"/>
      <c r="K297" s="1"/>
      <c r="Q297" s="1"/>
      <c r="R297" s="1"/>
    </row>
    <row r="298" spans="10:18" ht="12.75" customHeight="1" x14ac:dyDescent="0.25">
      <c r="J298" s="1"/>
      <c r="K298" s="1"/>
      <c r="Q298" s="1"/>
      <c r="R298" s="1"/>
    </row>
    <row r="299" spans="10:18" ht="12.75" customHeight="1" x14ac:dyDescent="0.25">
      <c r="J299" s="1"/>
      <c r="K299" s="1"/>
      <c r="Q299" s="1"/>
      <c r="R299" s="1"/>
    </row>
    <row r="300" spans="10:18" ht="12.75" customHeight="1" x14ac:dyDescent="0.25">
      <c r="J300" s="1"/>
      <c r="K300" s="1"/>
      <c r="Q300" s="1"/>
      <c r="R300" s="1"/>
    </row>
    <row r="301" spans="10:18" ht="12.75" customHeight="1" x14ac:dyDescent="0.25">
      <c r="J301" s="1"/>
      <c r="K301" s="1"/>
      <c r="Q301" s="1"/>
      <c r="R301" s="1"/>
    </row>
    <row r="302" spans="10:18" ht="12.75" customHeight="1" x14ac:dyDescent="0.25">
      <c r="J302" s="1"/>
      <c r="K302" s="1"/>
      <c r="Q302" s="1"/>
      <c r="R302" s="1"/>
    </row>
    <row r="303" spans="10:18" ht="12.75" customHeight="1" x14ac:dyDescent="0.25">
      <c r="J303" s="1"/>
      <c r="K303" s="1"/>
      <c r="Q303" s="1"/>
      <c r="R303" s="1"/>
    </row>
    <row r="304" spans="10:18" ht="12.75" customHeight="1" x14ac:dyDescent="0.25">
      <c r="J304" s="1"/>
      <c r="K304" s="1"/>
      <c r="Q304" s="1"/>
      <c r="R304" s="1"/>
    </row>
    <row r="305" spans="10:18" ht="12.75" customHeight="1" x14ac:dyDescent="0.25">
      <c r="J305" s="1"/>
      <c r="K305" s="1"/>
      <c r="Q305" s="1"/>
      <c r="R305" s="1"/>
    </row>
    <row r="306" spans="10:18" ht="12.75" customHeight="1" x14ac:dyDescent="0.25">
      <c r="J306" s="1"/>
      <c r="K306" s="1"/>
      <c r="Q306" s="1"/>
      <c r="R306" s="1"/>
    </row>
    <row r="307" spans="10:18" ht="12.75" customHeight="1" x14ac:dyDescent="0.25">
      <c r="J307" s="1"/>
      <c r="K307" s="1"/>
      <c r="Q307" s="1"/>
      <c r="R307" s="1"/>
    </row>
    <row r="308" spans="10:18" ht="12.75" customHeight="1" x14ac:dyDescent="0.25">
      <c r="J308" s="1"/>
      <c r="K308" s="1"/>
      <c r="Q308" s="1"/>
      <c r="R308" s="1"/>
    </row>
    <row r="309" spans="10:18" ht="12.75" customHeight="1" x14ac:dyDescent="0.25">
      <c r="J309" s="1"/>
      <c r="K309" s="1"/>
      <c r="Q309" s="1"/>
      <c r="R309" s="1"/>
    </row>
    <row r="310" spans="10:18" ht="12.75" customHeight="1" x14ac:dyDescent="0.25">
      <c r="J310" s="1"/>
      <c r="K310" s="1"/>
      <c r="Q310" s="1"/>
      <c r="R310" s="1"/>
    </row>
    <row r="311" spans="10:18" ht="12.75" customHeight="1" x14ac:dyDescent="0.25">
      <c r="J311" s="1"/>
      <c r="K311" s="1"/>
      <c r="Q311" s="1"/>
      <c r="R311" s="1"/>
    </row>
    <row r="312" spans="10:18" ht="12.75" customHeight="1" x14ac:dyDescent="0.25">
      <c r="J312" s="1"/>
      <c r="K312" s="1"/>
      <c r="Q312" s="1"/>
      <c r="R312" s="1"/>
    </row>
    <row r="313" spans="10:18" ht="12.75" customHeight="1" x14ac:dyDescent="0.25">
      <c r="J313" s="1"/>
      <c r="K313" s="1"/>
      <c r="Q313" s="1"/>
      <c r="R313" s="1"/>
    </row>
    <row r="314" spans="10:18" ht="12.75" customHeight="1" x14ac:dyDescent="0.25">
      <c r="J314" s="1"/>
      <c r="K314" s="1"/>
      <c r="Q314" s="1"/>
      <c r="R314" s="1"/>
    </row>
    <row r="315" spans="10:18" ht="12.75" customHeight="1" x14ac:dyDescent="0.25">
      <c r="J315" s="1"/>
      <c r="K315" s="1"/>
      <c r="Q315" s="1"/>
      <c r="R315" s="1"/>
    </row>
    <row r="316" spans="10:18" ht="12.75" customHeight="1" x14ac:dyDescent="0.25">
      <c r="J316" s="1"/>
      <c r="K316" s="1"/>
      <c r="Q316" s="1"/>
      <c r="R316" s="1"/>
    </row>
    <row r="317" spans="10:18" ht="12.75" customHeight="1" x14ac:dyDescent="0.25">
      <c r="J317" s="1"/>
      <c r="K317" s="1"/>
      <c r="Q317" s="1"/>
      <c r="R317" s="1"/>
    </row>
    <row r="318" spans="10:18" ht="12.75" customHeight="1" x14ac:dyDescent="0.25">
      <c r="J318" s="1"/>
      <c r="K318" s="1"/>
      <c r="Q318" s="1"/>
      <c r="R318" s="1"/>
    </row>
    <row r="319" spans="10:18" ht="12.75" customHeight="1" x14ac:dyDescent="0.25">
      <c r="J319" s="1"/>
      <c r="K319" s="1"/>
      <c r="Q319" s="1"/>
      <c r="R319" s="1"/>
    </row>
    <row r="320" spans="10:18" ht="12.75" customHeight="1" x14ac:dyDescent="0.25">
      <c r="J320" s="1"/>
      <c r="K320" s="1"/>
      <c r="Q320" s="1"/>
      <c r="R320" s="1"/>
    </row>
    <row r="321" spans="10:18" ht="12.75" customHeight="1" x14ac:dyDescent="0.25">
      <c r="J321" s="1"/>
      <c r="K321" s="1"/>
      <c r="Q321" s="1"/>
      <c r="R321" s="1"/>
    </row>
    <row r="322" spans="10:18" ht="12.75" customHeight="1" x14ac:dyDescent="0.25">
      <c r="J322" s="1"/>
      <c r="K322" s="1"/>
      <c r="Q322" s="1"/>
      <c r="R322" s="1"/>
    </row>
    <row r="323" spans="10:18" ht="12.75" customHeight="1" x14ac:dyDescent="0.25">
      <c r="J323" s="1"/>
      <c r="K323" s="1"/>
      <c r="Q323" s="1"/>
      <c r="R323" s="1"/>
    </row>
    <row r="324" spans="10:18" ht="12.75" customHeight="1" x14ac:dyDescent="0.25">
      <c r="J324" s="1"/>
      <c r="K324" s="1"/>
      <c r="Q324" s="1"/>
      <c r="R324" s="1"/>
    </row>
    <row r="325" spans="10:18" ht="12.75" customHeight="1" x14ac:dyDescent="0.25">
      <c r="J325" s="1"/>
      <c r="K325" s="1"/>
      <c r="Q325" s="1"/>
      <c r="R325" s="1"/>
    </row>
    <row r="326" spans="10:18" ht="12.75" customHeight="1" x14ac:dyDescent="0.25">
      <c r="J326" s="1"/>
      <c r="K326" s="1"/>
      <c r="Q326" s="1"/>
      <c r="R326" s="1"/>
    </row>
  </sheetData>
  <autoFilter ref="B25:H32"/>
  <mergeCells count="8">
    <mergeCell ref="G5:H5"/>
    <mergeCell ref="J5:K5"/>
    <mergeCell ref="N5:O5"/>
    <mergeCell ref="Q5:R5"/>
    <mergeCell ref="G22:H22"/>
    <mergeCell ref="J22:K22"/>
    <mergeCell ref="N22:O22"/>
    <mergeCell ref="Q22:R22"/>
  </mergeCells>
  <conditionalFormatting sqref="K26:K36 R26:R36 K9:K15 R9:R16">
    <cfRule type="cellIs" dxfId="33" priority="1" operator="equal">
      <formula>""""""</formula>
    </cfRule>
    <cfRule type="cellIs" dxfId="32" priority="2" operator="equal">
      <formula>0</formula>
    </cfRule>
    <cfRule type="cellIs" dxfId="31" priority="3" operator="lessThan">
      <formula>0</formula>
    </cfRule>
    <cfRule type="cellIs" dxfId="30" priority="4" operator="greaterThan">
      <formula>0</formula>
    </cfRule>
  </conditionalFormatting>
  <dataValidations count="1">
    <dataValidation type="list" allowBlank="1" showInputMessage="1" showErrorMessage="1" sqref="C26:C37 C9:C16">
      <formula1>"Entrée,Sortie"</formula1>
    </dataValidation>
  </dataValidations>
  <hyperlinks>
    <hyperlink ref="R1" location="Accueil!A1" tooltip="Menu" display="Menu"/>
  </hyperlinks>
  <pageMargins left="0.23622047244094491" right="0.23622047244094491" top="0.74803149606299213" bottom="0.74803149606299213" header="0.31496062992125984" footer="0.31496062992125984"/>
  <pageSetup scale="80" fitToHeight="0" orientation="landscape" r:id="rId1"/>
  <headerFooter>
    <oddFooter>&amp;L&amp;F / &amp;A&amp;C&amp;P/&amp;N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theme="0" tint="-0.34998626667073579"/>
    <pageSetUpPr fitToPage="1"/>
  </sheetPr>
  <dimension ref="A1:AD334"/>
  <sheetViews>
    <sheetView zoomScale="115" zoomScaleNormal="115" workbookViewId="0">
      <pane ySplit="3" topLeftCell="A7" activePane="bottomLeft" state="frozen"/>
      <selection activeCell="Q3" sqref="Q3:R3"/>
      <selection pane="bottomLeft" activeCell="Q19" sqref="Q19"/>
    </sheetView>
  </sheetViews>
  <sheetFormatPr baseColWidth="10" defaultColWidth="12.5546875" defaultRowHeight="15" customHeight="1" outlineLevelRow="1" x14ac:dyDescent="0.25"/>
  <cols>
    <col min="1" max="1" width="2.109375" customWidth="1"/>
    <col min="2" max="2" width="16.77734375" style="135" customWidth="1"/>
    <col min="3" max="3" width="8.88671875" style="10" customWidth="1"/>
    <col min="4" max="4" width="11.44140625" style="98" customWidth="1"/>
    <col min="5" max="5" width="24.33203125" style="98" customWidth="1"/>
    <col min="6" max="6" width="18.33203125" style="98" customWidth="1"/>
    <col min="7" max="7" width="9.5546875" customWidth="1"/>
    <col min="8" max="8" width="11.5546875" customWidth="1"/>
    <col min="9" max="9" width="0.88671875" customWidth="1"/>
    <col min="10" max="10" width="12.44140625" customWidth="1"/>
    <col min="11" max="11" width="7.44140625" customWidth="1"/>
    <col min="12" max="12" width="1.109375" customWidth="1"/>
    <col min="13" max="13" width="3.5546875" customWidth="1"/>
    <col min="14" max="14" width="9.5546875" customWidth="1"/>
    <col min="15" max="15" width="11.5546875" customWidth="1"/>
    <col min="16" max="16" width="0.88671875" customWidth="1"/>
    <col min="17" max="17" width="11.6640625" customWidth="1"/>
    <col min="18" max="18" width="10" customWidth="1"/>
    <col min="19" max="19" width="0.33203125" customWidth="1"/>
    <col min="20" max="20" width="13.33203125" customWidth="1"/>
    <col min="21" max="22" width="10" customWidth="1"/>
    <col min="23" max="23" width="9" customWidth="1"/>
    <col min="24" max="24" width="6.5546875" customWidth="1"/>
    <col min="25" max="27" width="10" customWidth="1"/>
  </cols>
  <sheetData>
    <row r="1" spans="2:19" ht="12.75" customHeight="1" x14ac:dyDescent="0.25">
      <c r="B1" s="134" t="s">
        <v>22</v>
      </c>
      <c r="K1" s="301" t="s">
        <v>83</v>
      </c>
      <c r="R1" s="91" t="s">
        <v>36</v>
      </c>
    </row>
    <row r="2" spans="2:19" ht="12.75" customHeight="1" x14ac:dyDescent="0.25"/>
    <row r="3" spans="2:19" ht="23.25" customHeight="1" x14ac:dyDescent="0.4">
      <c r="B3" s="136" t="s">
        <v>6</v>
      </c>
      <c r="F3" s="36" t="s">
        <v>33</v>
      </c>
      <c r="G3" s="36"/>
      <c r="J3" s="1"/>
      <c r="K3" s="1"/>
      <c r="N3" s="36"/>
      <c r="Q3" s="195" t="s">
        <v>53</v>
      </c>
      <c r="R3" s="291" t="str">
        <f ca="1">TEXT(TODAY(),"mmmm")</f>
        <v>janvier</v>
      </c>
    </row>
    <row r="4" spans="2:19" ht="12.75" customHeight="1" x14ac:dyDescent="0.25">
      <c r="J4" s="1"/>
      <c r="K4" s="2"/>
      <c r="Q4" s="1"/>
      <c r="R4" s="2"/>
    </row>
    <row r="5" spans="2:19" ht="15.75" customHeight="1" x14ac:dyDescent="0.3">
      <c r="B5" s="137"/>
      <c r="C5" s="74"/>
      <c r="D5" s="74"/>
      <c r="E5" s="74"/>
      <c r="F5" s="75"/>
      <c r="G5" s="308" t="s">
        <v>16</v>
      </c>
      <c r="H5" s="309"/>
      <c r="I5" s="76"/>
      <c r="J5" s="310" t="s">
        <v>0</v>
      </c>
      <c r="K5" s="311"/>
      <c r="L5" s="77"/>
      <c r="M5" s="77"/>
      <c r="N5" s="308" t="s">
        <v>17</v>
      </c>
      <c r="O5" s="309"/>
      <c r="P5" s="76"/>
      <c r="Q5" s="310" t="s">
        <v>0</v>
      </c>
      <c r="R5" s="311"/>
      <c r="S5" s="267"/>
    </row>
    <row r="6" spans="2:19" ht="22.5" customHeight="1" x14ac:dyDescent="0.25">
      <c r="B6" s="113" t="s">
        <v>1</v>
      </c>
      <c r="C6" s="7" t="s">
        <v>7</v>
      </c>
      <c r="D6" s="47" t="s">
        <v>5</v>
      </c>
      <c r="E6" s="48" t="s">
        <v>14</v>
      </c>
      <c r="F6" s="95" t="s">
        <v>42</v>
      </c>
      <c r="G6" s="82" t="s">
        <v>2</v>
      </c>
      <c r="H6" s="50" t="s">
        <v>13</v>
      </c>
      <c r="I6" s="23"/>
      <c r="J6" s="81" t="s">
        <v>0</v>
      </c>
      <c r="K6" s="84" t="s">
        <v>3</v>
      </c>
      <c r="N6" s="83" t="s">
        <v>2</v>
      </c>
      <c r="O6" s="40" t="s">
        <v>13</v>
      </c>
      <c r="P6" s="23"/>
      <c r="Q6" s="81" t="s">
        <v>0</v>
      </c>
      <c r="R6" s="84" t="s">
        <v>3</v>
      </c>
      <c r="S6" s="267"/>
    </row>
    <row r="7" spans="2:19" ht="4.5" customHeight="1" x14ac:dyDescent="0.25">
      <c r="F7" s="99"/>
      <c r="G7" s="54"/>
      <c r="H7" s="23"/>
      <c r="I7" s="23"/>
      <c r="J7" s="55"/>
      <c r="K7" s="25"/>
      <c r="N7" s="54"/>
      <c r="O7" s="23"/>
      <c r="P7" s="23"/>
      <c r="Q7" s="55"/>
      <c r="R7" s="25"/>
      <c r="S7" s="267"/>
    </row>
    <row r="8" spans="2:19" ht="17.100000000000001" customHeight="1" x14ac:dyDescent="0.3">
      <c r="B8" s="142" t="s">
        <v>31</v>
      </c>
      <c r="C8" s="11"/>
      <c r="D8" s="100"/>
      <c r="E8" s="100"/>
      <c r="F8" s="100"/>
      <c r="G8" s="56"/>
      <c r="H8" s="4"/>
      <c r="I8" s="23"/>
      <c r="J8" s="4"/>
      <c r="K8" s="57"/>
      <c r="N8" s="56"/>
      <c r="O8" s="4"/>
      <c r="P8" s="23"/>
      <c r="Q8" s="4"/>
      <c r="R8" s="57"/>
      <c r="S8" s="267"/>
    </row>
    <row r="9" spans="2:19" ht="12.75" customHeight="1" outlineLevel="1" x14ac:dyDescent="0.25">
      <c r="B9" s="179" t="s">
        <v>82</v>
      </c>
      <c r="C9" s="250"/>
      <c r="D9" s="250"/>
      <c r="E9" s="251"/>
      <c r="F9" s="252"/>
      <c r="G9" s="58"/>
      <c r="H9" s="18"/>
      <c r="I9" s="19"/>
      <c r="J9" s="20"/>
      <c r="K9" s="21" t="str">
        <f>IF(J9="","",J9-H9)</f>
        <v/>
      </c>
      <c r="N9" s="58"/>
      <c r="O9" s="18"/>
      <c r="P9" s="19"/>
      <c r="Q9" s="20"/>
      <c r="R9" s="21" t="str">
        <f>IF(Q9="","",Q9-O9)</f>
        <v/>
      </c>
      <c r="S9" s="267"/>
    </row>
    <row r="10" spans="2:19" ht="12.75" customHeight="1" outlineLevel="1" x14ac:dyDescent="0.25">
      <c r="B10" s="177">
        <v>46024</v>
      </c>
      <c r="C10" s="292" t="s">
        <v>8</v>
      </c>
      <c r="D10" s="293"/>
      <c r="E10" s="294" t="s">
        <v>46</v>
      </c>
      <c r="F10" s="295"/>
      <c r="G10" s="297"/>
      <c r="H10" s="13">
        <v>1685</v>
      </c>
      <c r="I10" s="23"/>
      <c r="J10" s="24">
        <v>1685</v>
      </c>
      <c r="K10" s="25">
        <f t="shared" ref="K10:K22" si="0">IF(J10="","",J10-H10)</f>
        <v>0</v>
      </c>
      <c r="N10" s="297"/>
      <c r="O10" s="13">
        <v>35</v>
      </c>
      <c r="P10" s="23"/>
      <c r="Q10" s="24">
        <v>35</v>
      </c>
      <c r="R10" s="25">
        <f t="shared" ref="R10:R23" si="1">IF(Q10="","",Q10-O10)</f>
        <v>0</v>
      </c>
      <c r="S10" s="267"/>
    </row>
    <row r="11" spans="2:19" ht="12.75" customHeight="1" outlineLevel="1" x14ac:dyDescent="0.25">
      <c r="B11" s="177">
        <v>46024</v>
      </c>
      <c r="C11" s="12" t="s">
        <v>9</v>
      </c>
      <c r="D11" s="253"/>
      <c r="E11" s="244" t="s">
        <v>84</v>
      </c>
      <c r="F11" s="254"/>
      <c r="G11" s="66">
        <v>700</v>
      </c>
      <c r="H11" s="13">
        <f t="shared" ref="H11:H18" si="2">IF(C11="","",IF(C11="Entrée",H10+G11,IF(C11="Sortie",H10-G11)))</f>
        <v>985</v>
      </c>
      <c r="I11" s="23"/>
      <c r="J11" s="24"/>
      <c r="K11" s="25"/>
      <c r="N11" s="66"/>
      <c r="O11" s="13">
        <f t="shared" ref="O11:O19" si="3">IF(C11="","",IF(C11="Entrée",O10+N11,IF(C11="Sortie",O10-N11)))</f>
        <v>35</v>
      </c>
      <c r="P11" s="23"/>
      <c r="Q11" s="24"/>
      <c r="R11" s="25"/>
      <c r="S11" s="267"/>
    </row>
    <row r="12" spans="2:19" ht="12.75" customHeight="1" outlineLevel="1" x14ac:dyDescent="0.25">
      <c r="B12" s="177">
        <v>46025</v>
      </c>
      <c r="C12" s="292" t="s">
        <v>8</v>
      </c>
      <c r="D12" s="293"/>
      <c r="E12" s="294" t="s">
        <v>46</v>
      </c>
      <c r="F12" s="295"/>
      <c r="G12" s="297"/>
      <c r="H12" s="13">
        <f t="shared" si="2"/>
        <v>985</v>
      </c>
      <c r="I12" s="23"/>
      <c r="J12" s="24"/>
      <c r="K12" s="25" t="str">
        <f t="shared" ref="K12" si="4">IF(J12="","",J12-H12)</f>
        <v/>
      </c>
      <c r="N12" s="297"/>
      <c r="O12" s="13">
        <v>35</v>
      </c>
      <c r="P12" s="23"/>
      <c r="Q12" s="24">
        <v>35</v>
      </c>
      <c r="R12" s="25">
        <f t="shared" si="1"/>
        <v>0</v>
      </c>
      <c r="S12" s="267"/>
    </row>
    <row r="13" spans="2:19" ht="12.75" customHeight="1" outlineLevel="1" x14ac:dyDescent="0.25">
      <c r="B13" s="177">
        <v>46025</v>
      </c>
      <c r="C13" s="12" t="s">
        <v>8</v>
      </c>
      <c r="D13" s="253"/>
      <c r="E13" s="254" t="s">
        <v>87</v>
      </c>
      <c r="F13" s="254"/>
      <c r="G13" s="66">
        <v>700</v>
      </c>
      <c r="H13" s="13">
        <f t="shared" si="2"/>
        <v>1685</v>
      </c>
      <c r="I13" s="23"/>
      <c r="J13" s="24"/>
      <c r="K13" s="25" t="str">
        <f t="shared" si="0"/>
        <v/>
      </c>
      <c r="N13" s="66"/>
      <c r="O13" s="13">
        <f t="shared" si="3"/>
        <v>35</v>
      </c>
      <c r="P13" s="23"/>
      <c r="Q13" s="24"/>
      <c r="R13" s="25" t="str">
        <f t="shared" si="1"/>
        <v/>
      </c>
      <c r="S13" s="267"/>
    </row>
    <row r="14" spans="2:19" ht="12.75" customHeight="1" outlineLevel="1" x14ac:dyDescent="0.25">
      <c r="B14" s="177">
        <v>46025</v>
      </c>
      <c r="C14" s="12" t="s">
        <v>8</v>
      </c>
      <c r="D14" s="253"/>
      <c r="E14" s="254" t="s">
        <v>87</v>
      </c>
      <c r="F14" s="254"/>
      <c r="G14" s="66">
        <v>700</v>
      </c>
      <c r="H14" s="13">
        <f t="shared" si="2"/>
        <v>2385</v>
      </c>
      <c r="I14" s="23"/>
      <c r="J14" s="24"/>
      <c r="K14" s="25" t="str">
        <f t="shared" si="0"/>
        <v/>
      </c>
      <c r="N14" s="66"/>
      <c r="O14" s="13">
        <f t="shared" si="3"/>
        <v>35</v>
      </c>
      <c r="P14" s="23"/>
      <c r="Q14" s="24"/>
      <c r="R14" s="25" t="str">
        <f t="shared" si="1"/>
        <v/>
      </c>
      <c r="S14" s="267"/>
    </row>
    <row r="15" spans="2:19" ht="12.75" customHeight="1" outlineLevel="1" x14ac:dyDescent="0.25">
      <c r="B15" s="177">
        <v>46025</v>
      </c>
      <c r="C15" s="12" t="s">
        <v>8</v>
      </c>
      <c r="D15" s="253"/>
      <c r="E15" s="254" t="s">
        <v>87</v>
      </c>
      <c r="F15" s="254"/>
      <c r="G15" s="66">
        <v>700</v>
      </c>
      <c r="H15" s="13">
        <f t="shared" si="2"/>
        <v>3085</v>
      </c>
      <c r="I15" s="23"/>
      <c r="J15" s="24"/>
      <c r="K15" s="25" t="str">
        <f t="shared" si="0"/>
        <v/>
      </c>
      <c r="N15" s="66"/>
      <c r="O15" s="13">
        <f t="shared" si="3"/>
        <v>35</v>
      </c>
      <c r="P15" s="23"/>
      <c r="Q15" s="24"/>
      <c r="R15" s="25" t="str">
        <f t="shared" si="1"/>
        <v/>
      </c>
      <c r="S15" s="267"/>
    </row>
    <row r="16" spans="2:19" ht="12.75" customHeight="1" outlineLevel="1" x14ac:dyDescent="0.25">
      <c r="B16" s="177">
        <v>46026</v>
      </c>
      <c r="C16" s="292" t="s">
        <v>8</v>
      </c>
      <c r="D16" s="293"/>
      <c r="E16" s="294" t="s">
        <v>46</v>
      </c>
      <c r="F16" s="295"/>
      <c r="G16" s="297"/>
      <c r="H16" s="13">
        <f t="shared" si="2"/>
        <v>3085</v>
      </c>
      <c r="I16" s="23"/>
      <c r="J16" s="24">
        <v>3085</v>
      </c>
      <c r="K16" s="25">
        <f t="shared" si="0"/>
        <v>0</v>
      </c>
      <c r="N16" s="297"/>
      <c r="O16" s="13">
        <f t="shared" si="3"/>
        <v>35</v>
      </c>
      <c r="P16" s="23"/>
      <c r="Q16" s="24">
        <v>35</v>
      </c>
      <c r="R16" s="25">
        <f t="shared" si="1"/>
        <v>0</v>
      </c>
      <c r="S16" s="267"/>
    </row>
    <row r="17" spans="1:30" ht="12.75" customHeight="1" outlineLevel="1" x14ac:dyDescent="0.25">
      <c r="B17" s="177">
        <v>46026</v>
      </c>
      <c r="C17" s="12" t="s">
        <v>9</v>
      </c>
      <c r="D17" s="253"/>
      <c r="E17" s="254" t="s">
        <v>84</v>
      </c>
      <c r="F17" s="254"/>
      <c r="G17" s="66">
        <v>700</v>
      </c>
      <c r="H17" s="13">
        <f t="shared" si="2"/>
        <v>2385</v>
      </c>
      <c r="I17" s="23"/>
      <c r="J17" s="24"/>
      <c r="K17" s="25" t="str">
        <f t="shared" si="0"/>
        <v/>
      </c>
      <c r="N17" s="66"/>
      <c r="O17" s="13">
        <f t="shared" si="3"/>
        <v>35</v>
      </c>
      <c r="P17" s="23"/>
      <c r="Q17" s="24"/>
      <c r="R17" s="25" t="str">
        <f t="shared" si="1"/>
        <v/>
      </c>
      <c r="S17" s="267"/>
    </row>
    <row r="18" spans="1:30" ht="12.75" customHeight="1" outlineLevel="1" x14ac:dyDescent="0.25">
      <c r="B18" s="177">
        <v>46027</v>
      </c>
      <c r="C18" s="292" t="s">
        <v>8</v>
      </c>
      <c r="D18" s="293"/>
      <c r="E18" s="294" t="s">
        <v>46</v>
      </c>
      <c r="F18" s="295"/>
      <c r="G18" s="297"/>
      <c r="H18" s="13">
        <f t="shared" si="2"/>
        <v>2385</v>
      </c>
      <c r="I18" s="23"/>
      <c r="J18" s="24">
        <f>2318+67</f>
        <v>2385</v>
      </c>
      <c r="K18" s="25">
        <f t="shared" si="0"/>
        <v>0</v>
      </c>
      <c r="N18" s="297"/>
      <c r="O18" s="13">
        <f t="shared" si="3"/>
        <v>35</v>
      </c>
      <c r="P18" s="23"/>
      <c r="Q18" s="24">
        <v>35</v>
      </c>
      <c r="R18" s="25">
        <f t="shared" si="1"/>
        <v>0</v>
      </c>
      <c r="S18" s="267"/>
    </row>
    <row r="19" spans="1:30" ht="12.75" customHeight="1" outlineLevel="1" x14ac:dyDescent="0.25">
      <c r="B19" s="177"/>
      <c r="C19" s="12"/>
      <c r="D19" s="253"/>
      <c r="E19" s="244"/>
      <c r="F19" s="254"/>
      <c r="G19" s="66"/>
      <c r="H19" s="13" t="str">
        <f t="shared" ref="H19:H21" si="5">IF(C19="","",IF(C19="Entrée",H18+G19,IF(C19="Sortie",H18-G19)))</f>
        <v/>
      </c>
      <c r="I19" s="23"/>
      <c r="J19" s="24"/>
      <c r="K19" s="25" t="str">
        <f t="shared" ref="K19:K21" si="6">IF(J19="","",J19-H19)</f>
        <v/>
      </c>
      <c r="N19" s="66"/>
      <c r="O19" s="13" t="str">
        <f t="shared" si="3"/>
        <v/>
      </c>
      <c r="P19" s="23"/>
      <c r="Q19" s="24"/>
      <c r="R19" s="25" t="str">
        <f t="shared" si="1"/>
        <v/>
      </c>
      <c r="S19" s="267"/>
    </row>
    <row r="20" spans="1:30" ht="12.75" customHeight="1" outlineLevel="1" x14ac:dyDescent="0.25">
      <c r="B20" s="177"/>
      <c r="C20" s="12"/>
      <c r="D20" s="253"/>
      <c r="E20" s="244"/>
      <c r="F20" s="254"/>
      <c r="G20" s="66"/>
      <c r="H20" s="13" t="str">
        <f t="shared" si="5"/>
        <v/>
      </c>
      <c r="I20" s="23"/>
      <c r="J20" s="24"/>
      <c r="K20" s="25" t="str">
        <f t="shared" si="6"/>
        <v/>
      </c>
      <c r="N20" s="66"/>
      <c r="O20" s="13" t="str">
        <f t="shared" ref="O19:O21" si="7">IF(C20="","",IF(C20="Entrée",O19+N20,IF(C20="Sortie",O19-N20)))</f>
        <v/>
      </c>
      <c r="P20" s="23"/>
      <c r="Q20" s="24"/>
      <c r="R20" s="25" t="str">
        <f t="shared" ref="R19:R21" si="8">IF(Q20="","",Q20-O20)</f>
        <v/>
      </c>
      <c r="S20" s="267"/>
    </row>
    <row r="21" spans="1:30" ht="12.75" customHeight="1" outlineLevel="1" x14ac:dyDescent="0.25">
      <c r="B21" s="177"/>
      <c r="C21" s="12"/>
      <c r="D21" s="253"/>
      <c r="E21" s="244"/>
      <c r="F21" s="254"/>
      <c r="G21" s="66"/>
      <c r="H21" s="13" t="str">
        <f t="shared" si="5"/>
        <v/>
      </c>
      <c r="I21" s="23"/>
      <c r="J21" s="24"/>
      <c r="K21" s="25" t="str">
        <f t="shared" si="6"/>
        <v/>
      </c>
      <c r="N21" s="66"/>
      <c r="O21" s="13" t="str">
        <f t="shared" si="7"/>
        <v/>
      </c>
      <c r="P21" s="23"/>
      <c r="Q21" s="24"/>
      <c r="R21" s="25" t="str">
        <f t="shared" si="8"/>
        <v/>
      </c>
      <c r="S21" s="267"/>
    </row>
    <row r="22" spans="1:30" s="23" customFormat="1" ht="12.75" customHeight="1" outlineLevel="1" x14ac:dyDescent="0.25">
      <c r="B22" s="145"/>
      <c r="C22" s="146"/>
      <c r="D22" s="147"/>
      <c r="E22" s="148"/>
      <c r="F22" s="149"/>
      <c r="G22" s="149"/>
      <c r="H22" s="29" t="str">
        <f>IF(C22="","",IF(C22="Entrée",#REF!+G22,IF(C22="Sortie",#REF!-G22)))</f>
        <v/>
      </c>
      <c r="I22" s="30"/>
      <c r="J22" s="31"/>
      <c r="K22" s="32" t="str">
        <f t="shared" si="0"/>
        <v/>
      </c>
      <c r="L22"/>
      <c r="M22"/>
      <c r="N22" s="150"/>
      <c r="O22" s="150"/>
      <c r="P22" s="30"/>
      <c r="Q22" s="31"/>
      <c r="R22" s="31"/>
      <c r="S22" s="272"/>
      <c r="AB22"/>
      <c r="AC22"/>
      <c r="AD22"/>
    </row>
    <row r="23" spans="1:30" ht="7.35" customHeight="1" x14ac:dyDescent="0.25">
      <c r="B23" s="139"/>
      <c r="C23" s="6"/>
      <c r="D23" s="101"/>
      <c r="E23" s="101"/>
      <c r="F23" s="101"/>
      <c r="G23" s="6"/>
      <c r="H23" s="6"/>
      <c r="I23" s="6"/>
      <c r="J23" s="6"/>
      <c r="K23" s="6"/>
      <c r="N23" s="6"/>
      <c r="O23" s="6"/>
      <c r="P23" s="6"/>
      <c r="Q23" s="6"/>
      <c r="R23" s="6"/>
      <c r="S23" s="268"/>
    </row>
    <row r="24" spans="1:30" ht="21" customHeight="1" x14ac:dyDescent="0.25">
      <c r="B24" s="139"/>
      <c r="C24" s="6"/>
      <c r="D24" s="101"/>
      <c r="E24" s="101"/>
      <c r="F24" s="102" t="s">
        <v>11</v>
      </c>
      <c r="G24" s="71">
        <f>SUMIF(C9:C22,"Entrée",G9:G22)</f>
        <v>2100</v>
      </c>
      <c r="H24" s="6"/>
      <c r="I24" s="6"/>
      <c r="J24" s="6"/>
      <c r="K24" s="6"/>
      <c r="L24" s="6"/>
      <c r="O24" s="15"/>
      <c r="P24" s="61"/>
      <c r="Q24" s="70" t="s">
        <v>25</v>
      </c>
      <c r="R24" s="71">
        <f>SUMIF(C9:C22,"Entrée",N9:N22)</f>
        <v>0</v>
      </c>
      <c r="S24" s="268"/>
    </row>
    <row r="25" spans="1:30" ht="21" customHeight="1" x14ac:dyDescent="0.25">
      <c r="B25" s="139"/>
      <c r="C25" s="6"/>
      <c r="E25" s="101"/>
      <c r="F25" s="102" t="s">
        <v>12</v>
      </c>
      <c r="G25" s="71">
        <f>SUMIF(C9:C22,"Sortie",G9:G22)</f>
        <v>1400</v>
      </c>
      <c r="H25" s="6"/>
      <c r="I25" s="6"/>
      <c r="J25" s="6"/>
      <c r="K25" s="6"/>
      <c r="L25" s="6"/>
      <c r="O25" s="15"/>
      <c r="P25" s="61"/>
      <c r="Q25" s="70" t="s">
        <v>24</v>
      </c>
      <c r="R25" s="71">
        <f>SUMIF(C9:C22,"Sortie",N9:N22)</f>
        <v>0</v>
      </c>
      <c r="S25" s="268"/>
    </row>
    <row r="26" spans="1:30" ht="9" customHeight="1" x14ac:dyDescent="0.25">
      <c r="B26" s="139"/>
      <c r="C26" s="6"/>
      <c r="E26" s="101"/>
      <c r="F26" s="103"/>
      <c r="G26" s="68"/>
      <c r="H26" s="6"/>
      <c r="I26" s="6"/>
      <c r="J26" s="6"/>
      <c r="K26" s="6"/>
      <c r="L26" s="6"/>
      <c r="O26" s="69"/>
      <c r="P26" s="69"/>
      <c r="Q26" s="67"/>
      <c r="R26" s="68"/>
      <c r="S26" s="6"/>
    </row>
    <row r="27" spans="1:30" ht="21" customHeight="1" thickBot="1" x14ac:dyDescent="0.3">
      <c r="A27" s="35"/>
      <c r="B27" s="140"/>
      <c r="C27" s="44"/>
      <c r="D27" s="104"/>
      <c r="E27" s="105"/>
      <c r="F27" s="105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1:30" ht="21" customHeight="1" x14ac:dyDescent="0.25">
      <c r="B28" s="139"/>
      <c r="C28" s="6"/>
      <c r="E28" s="101"/>
      <c r="F28" s="101"/>
      <c r="G28" s="6"/>
      <c r="H28" s="6"/>
      <c r="I28" s="6"/>
      <c r="J28" s="6"/>
      <c r="K28" s="6"/>
      <c r="L28" s="6"/>
      <c r="N28" s="6"/>
      <c r="O28" s="6"/>
      <c r="P28" s="6"/>
      <c r="Q28" s="6"/>
      <c r="R28" s="6"/>
      <c r="S28" s="6"/>
    </row>
    <row r="29" spans="1:30" ht="21" customHeight="1" x14ac:dyDescent="0.3">
      <c r="B29" s="141"/>
      <c r="C29" s="78"/>
      <c r="D29" s="106"/>
      <c r="E29" s="107"/>
      <c r="F29" s="107"/>
      <c r="G29" s="312" t="s">
        <v>16</v>
      </c>
      <c r="H29" s="313"/>
      <c r="I29" s="80"/>
      <c r="J29" s="314" t="s">
        <v>0</v>
      </c>
      <c r="K29" s="316"/>
      <c r="L29" s="79"/>
      <c r="M29" s="79"/>
      <c r="N29" s="317" t="s">
        <v>17</v>
      </c>
      <c r="O29" s="318"/>
      <c r="P29" s="80"/>
      <c r="Q29" s="314" t="s">
        <v>0</v>
      </c>
      <c r="R29" s="316"/>
      <c r="S29" s="269"/>
    </row>
    <row r="30" spans="1:30" ht="22.5" customHeight="1" x14ac:dyDescent="0.25">
      <c r="B30" s="113" t="s">
        <v>1</v>
      </c>
      <c r="C30" s="7" t="s">
        <v>7</v>
      </c>
      <c r="D30" s="47" t="s">
        <v>5</v>
      </c>
      <c r="E30" s="48" t="s">
        <v>14</v>
      </c>
      <c r="F30" s="46" t="s">
        <v>4</v>
      </c>
      <c r="G30" s="82" t="s">
        <v>2</v>
      </c>
      <c r="H30" s="50" t="s">
        <v>13</v>
      </c>
      <c r="I30" s="23"/>
      <c r="J30" s="81" t="s">
        <v>0</v>
      </c>
      <c r="K30" s="84" t="s">
        <v>3</v>
      </c>
      <c r="N30" s="83" t="s">
        <v>2</v>
      </c>
      <c r="O30" s="40" t="s">
        <v>13</v>
      </c>
      <c r="P30" s="23"/>
      <c r="Q30" s="81" t="s">
        <v>0</v>
      </c>
      <c r="R30" s="84" t="s">
        <v>3</v>
      </c>
      <c r="S30" s="94"/>
    </row>
    <row r="31" spans="1:30" ht="4.3499999999999996" customHeight="1" x14ac:dyDescent="0.25">
      <c r="J31" s="1"/>
      <c r="K31" s="1"/>
      <c r="Q31" s="1"/>
      <c r="R31" s="1"/>
      <c r="S31" s="94"/>
    </row>
    <row r="32" spans="1:30" ht="18.75" customHeight="1" x14ac:dyDescent="0.3">
      <c r="B32" s="142" t="s">
        <v>32</v>
      </c>
      <c r="C32" s="11"/>
      <c r="D32" s="100"/>
      <c r="E32" s="100" t="s">
        <v>49</v>
      </c>
      <c r="F32" s="100"/>
      <c r="G32" s="56"/>
      <c r="H32" s="4"/>
      <c r="I32" s="23"/>
      <c r="J32" s="4"/>
      <c r="K32" s="57"/>
      <c r="N32" s="56"/>
      <c r="O32" s="4"/>
      <c r="P32" s="23"/>
      <c r="Q32" s="4"/>
      <c r="R32" s="57"/>
      <c r="S32" s="94"/>
    </row>
    <row r="33" spans="2:19" ht="12.75" customHeight="1" outlineLevel="1" x14ac:dyDescent="0.25">
      <c r="B33" s="179" t="s">
        <v>82</v>
      </c>
      <c r="C33" s="16"/>
      <c r="D33" s="108"/>
      <c r="E33" s="251"/>
      <c r="F33" s="256"/>
      <c r="G33" s="58"/>
      <c r="H33" s="18"/>
      <c r="I33" s="19"/>
      <c r="J33" s="20"/>
      <c r="K33" s="21" t="str">
        <f>IF(J33="","",J33-H33)</f>
        <v/>
      </c>
      <c r="N33" s="58"/>
      <c r="O33" s="18"/>
      <c r="P33" s="19"/>
      <c r="Q33" s="20"/>
      <c r="R33" s="21" t="str">
        <f>IF(Q33="","",Q33-O33)</f>
        <v/>
      </c>
      <c r="S33" s="94"/>
    </row>
    <row r="34" spans="2:19" ht="12.75" customHeight="1" outlineLevel="1" x14ac:dyDescent="0.25">
      <c r="B34" s="177">
        <v>46024</v>
      </c>
      <c r="C34" s="292" t="s">
        <v>8</v>
      </c>
      <c r="D34" s="293"/>
      <c r="E34" s="294" t="s">
        <v>46</v>
      </c>
      <c r="F34" s="295"/>
      <c r="G34" s="297"/>
      <c r="H34" s="13">
        <v>1260</v>
      </c>
      <c r="I34" s="23"/>
      <c r="J34" s="24">
        <v>1260</v>
      </c>
      <c r="K34" s="25">
        <f t="shared" ref="K34:K44" si="9">IF(J34="","",J34-H34)</f>
        <v>0</v>
      </c>
      <c r="N34" s="66"/>
      <c r="O34" s="13">
        <v>315</v>
      </c>
      <c r="P34" s="23"/>
      <c r="Q34" s="24">
        <v>315</v>
      </c>
      <c r="R34" s="25">
        <f t="shared" ref="R34:R44" si="10">IF(Q34="","",Q34-O34)</f>
        <v>0</v>
      </c>
      <c r="S34" s="94"/>
    </row>
    <row r="35" spans="2:19" ht="12.75" customHeight="1" outlineLevel="1" x14ac:dyDescent="0.25">
      <c r="B35" s="177">
        <v>46024</v>
      </c>
      <c r="C35" s="12" t="s">
        <v>9</v>
      </c>
      <c r="D35" s="243"/>
      <c r="E35" s="244" t="s">
        <v>84</v>
      </c>
      <c r="F35" s="245"/>
      <c r="G35" s="66"/>
      <c r="H35" s="13">
        <v>1260</v>
      </c>
      <c r="I35" s="23"/>
      <c r="J35" s="24"/>
      <c r="K35" s="25"/>
      <c r="N35" s="66"/>
      <c r="O35" s="13">
        <v>315</v>
      </c>
      <c r="P35" s="23"/>
      <c r="Q35" s="24"/>
      <c r="R35" s="25"/>
      <c r="S35" s="94"/>
    </row>
    <row r="36" spans="2:19" ht="12.75" customHeight="1" outlineLevel="1" x14ac:dyDescent="0.25">
      <c r="B36" s="177">
        <v>46025</v>
      </c>
      <c r="C36" s="292" t="s">
        <v>8</v>
      </c>
      <c r="D36" s="293"/>
      <c r="E36" s="294" t="s">
        <v>46</v>
      </c>
      <c r="F36" s="295"/>
      <c r="G36" s="297"/>
      <c r="H36" s="13">
        <v>1260</v>
      </c>
      <c r="I36" s="23"/>
      <c r="J36" s="24"/>
      <c r="K36" s="25" t="str">
        <f t="shared" ref="K36" si="11">IF(J36="","",J36-H36)</f>
        <v/>
      </c>
      <c r="N36" s="66"/>
      <c r="O36" s="13">
        <v>315</v>
      </c>
      <c r="P36" s="23"/>
      <c r="Q36" s="24"/>
      <c r="R36" s="25" t="str">
        <f t="shared" si="10"/>
        <v/>
      </c>
      <c r="S36" s="94"/>
    </row>
    <row r="37" spans="2:19" ht="12.75" customHeight="1" outlineLevel="1" x14ac:dyDescent="0.25">
      <c r="B37" s="177">
        <v>46025</v>
      </c>
      <c r="C37" s="12" t="s">
        <v>9</v>
      </c>
      <c r="D37" s="243"/>
      <c r="E37" s="244" t="s">
        <v>84</v>
      </c>
      <c r="F37" s="245"/>
      <c r="G37" s="66">
        <v>105</v>
      </c>
      <c r="H37" s="13">
        <f t="shared" ref="H37:H40" si="12">IF(C37="","",IF(C37="Entrée",H36+G37,IF(C37="Sortie",H36-G37)))</f>
        <v>1155</v>
      </c>
      <c r="I37" s="23"/>
      <c r="J37" s="24"/>
      <c r="K37" s="25" t="str">
        <f t="shared" si="9"/>
        <v/>
      </c>
      <c r="N37" s="66"/>
      <c r="O37" s="13">
        <v>315</v>
      </c>
      <c r="P37" s="23"/>
      <c r="Q37" s="24"/>
      <c r="R37" s="25" t="str">
        <f t="shared" si="10"/>
        <v/>
      </c>
      <c r="S37" s="94"/>
    </row>
    <row r="38" spans="2:19" ht="12.6" customHeight="1" outlineLevel="1" x14ac:dyDescent="0.25">
      <c r="B38" s="177">
        <v>46026</v>
      </c>
      <c r="C38" s="292" t="s">
        <v>8</v>
      </c>
      <c r="D38" s="293"/>
      <c r="E38" s="294" t="s">
        <v>46</v>
      </c>
      <c r="F38" s="295"/>
      <c r="G38" s="297"/>
      <c r="H38" s="13">
        <f t="shared" si="12"/>
        <v>1155</v>
      </c>
      <c r="I38" s="23"/>
      <c r="J38" s="24">
        <v>1155</v>
      </c>
      <c r="K38" s="25">
        <f t="shared" si="9"/>
        <v>0</v>
      </c>
      <c r="N38" s="66"/>
      <c r="O38" s="13">
        <f t="shared" ref="O38:O40" si="13">IF(C38="","",IF(C38="Entrée",O37+N38,IF(C38="Sortie",O37-N38)))</f>
        <v>315</v>
      </c>
      <c r="P38" s="23"/>
      <c r="Q38" s="24">
        <v>315</v>
      </c>
      <c r="R38" s="25">
        <f t="shared" si="10"/>
        <v>0</v>
      </c>
      <c r="S38" s="94"/>
    </row>
    <row r="39" spans="2:19" ht="12.6" customHeight="1" outlineLevel="1" x14ac:dyDescent="0.25">
      <c r="B39" s="177">
        <v>46027</v>
      </c>
      <c r="C39" s="292" t="s">
        <v>8</v>
      </c>
      <c r="D39" s="293"/>
      <c r="E39" s="294" t="s">
        <v>46</v>
      </c>
      <c r="F39" s="295"/>
      <c r="G39" s="297"/>
      <c r="H39" s="13">
        <f t="shared" ref="H39" si="14">IF(C39="","",IF(C39="Entrée",H38+G39,IF(C39="Sortie",H38-G39)))</f>
        <v>1155</v>
      </c>
      <c r="I39" s="23"/>
      <c r="J39" s="24">
        <v>1155</v>
      </c>
      <c r="K39" s="25">
        <f t="shared" ref="K39" si="15">IF(J39="","",J39-H39)</f>
        <v>0</v>
      </c>
      <c r="N39" s="66"/>
      <c r="O39" s="13">
        <f t="shared" ref="O39" si="16">IF(C39="","",IF(C39="Entrée",O38+N39,IF(C39="Sortie",O38-N39)))</f>
        <v>315</v>
      </c>
      <c r="P39" s="23"/>
      <c r="Q39" s="24">
        <v>315</v>
      </c>
      <c r="R39" s="25">
        <f t="shared" ref="R39" si="17">IF(Q39="","",Q39-O39)</f>
        <v>0</v>
      </c>
      <c r="S39" s="94"/>
    </row>
    <row r="40" spans="2:19" ht="12.75" customHeight="1" outlineLevel="1" x14ac:dyDescent="0.3">
      <c r="B40" s="177"/>
      <c r="C40" s="12"/>
      <c r="D40" s="257"/>
      <c r="E40" s="244"/>
      <c r="F40" s="258"/>
      <c r="G40" s="66"/>
      <c r="H40" s="13" t="str">
        <f t="shared" si="12"/>
        <v/>
      </c>
      <c r="I40" s="23"/>
      <c r="J40" s="24"/>
      <c r="K40" s="25" t="str">
        <f t="shared" si="9"/>
        <v/>
      </c>
      <c r="N40" s="66"/>
      <c r="O40" s="13" t="str">
        <f t="shared" si="13"/>
        <v/>
      </c>
      <c r="P40" s="23"/>
      <c r="Q40" s="24"/>
      <c r="R40" s="25" t="str">
        <f t="shared" si="10"/>
        <v/>
      </c>
      <c r="S40" s="94"/>
    </row>
    <row r="41" spans="2:19" ht="12.75" customHeight="1" outlineLevel="1" x14ac:dyDescent="0.3">
      <c r="B41" s="177"/>
      <c r="C41" s="12"/>
      <c r="D41" s="259"/>
      <c r="E41" s="248"/>
      <c r="F41" s="258"/>
      <c r="G41" s="66"/>
      <c r="H41" s="13" t="str">
        <f>IF(C41="","",IF(C41="Entrée",#REF!+G41,IF(C41="Sortie",#REF!-G41)))</f>
        <v/>
      </c>
      <c r="I41" s="23"/>
      <c r="J41" s="24"/>
      <c r="K41" s="25" t="str">
        <f t="shared" si="9"/>
        <v/>
      </c>
      <c r="N41" s="66"/>
      <c r="O41" s="13" t="str">
        <f>IF(C41="","",IF(C41="Entrée",#REF!+N41,IF(C41="Sortie",#REF!-N41)))</f>
        <v/>
      </c>
      <c r="P41" s="23"/>
      <c r="Q41" s="24"/>
      <c r="R41" s="25" t="str">
        <f t="shared" si="10"/>
        <v/>
      </c>
      <c r="S41" s="94"/>
    </row>
    <row r="42" spans="2:19" ht="12.75" customHeight="1" outlineLevel="1" x14ac:dyDescent="0.3">
      <c r="B42" s="177"/>
      <c r="C42" s="12"/>
      <c r="D42" s="259"/>
      <c r="E42" s="248"/>
      <c r="F42" s="258"/>
      <c r="G42" s="66"/>
      <c r="H42" s="13"/>
      <c r="I42" s="23"/>
      <c r="J42" s="24"/>
      <c r="K42" s="25" t="str">
        <f t="shared" si="9"/>
        <v/>
      </c>
      <c r="N42" s="66"/>
      <c r="O42" s="13" t="str">
        <f t="shared" ref="O42" si="18">IF(C42="","",IF(C42="Entrée",O41+N42,IF(C42="Sortie",O41-N42)))</f>
        <v/>
      </c>
      <c r="P42" s="23"/>
      <c r="Q42" s="24"/>
      <c r="R42" s="25" t="str">
        <f t="shared" si="10"/>
        <v/>
      </c>
      <c r="S42" s="94"/>
    </row>
    <row r="43" spans="2:19" ht="12.75" customHeight="1" outlineLevel="1" x14ac:dyDescent="0.3">
      <c r="B43" s="177"/>
      <c r="C43" s="12"/>
      <c r="D43" s="259"/>
      <c r="E43" s="248"/>
      <c r="F43" s="258"/>
      <c r="G43" s="66"/>
      <c r="H43" s="13" t="str">
        <f>IF(C43="","",IF(C43="Entrée",#REF!+G43,IF(C43="Sortie",#REF!-G43)))</f>
        <v/>
      </c>
      <c r="I43" s="23"/>
      <c r="J43" s="24"/>
      <c r="K43" s="25" t="str">
        <f t="shared" si="9"/>
        <v/>
      </c>
      <c r="N43" s="66"/>
      <c r="O43" s="13" t="str">
        <f>IF(C43="","",IF(C43="Entrée",#REF!+N43,IF(C43="Sortie",#REF!-N43)))</f>
        <v/>
      </c>
      <c r="P43" s="23"/>
      <c r="Q43" s="24"/>
      <c r="R43" s="25" t="str">
        <f t="shared" ref="R43" si="19">IF(Q43="","",Q43-O43)</f>
        <v/>
      </c>
      <c r="S43" s="94"/>
    </row>
    <row r="44" spans="2:19" ht="12.75" customHeight="1" outlineLevel="1" x14ac:dyDescent="0.25">
      <c r="B44" s="138"/>
      <c r="C44" s="27"/>
      <c r="D44" s="109"/>
      <c r="E44" s="96"/>
      <c r="F44" s="97"/>
      <c r="G44" s="60"/>
      <c r="H44" s="29" t="str">
        <f>IF(C44="","",IF(C44="Entrée",H43+G44,IF(C44="Sortie",H43-G44)))</f>
        <v/>
      </c>
      <c r="I44" s="30"/>
      <c r="J44" s="31"/>
      <c r="K44" s="32" t="str">
        <f t="shared" si="9"/>
        <v/>
      </c>
      <c r="N44" s="150"/>
      <c r="O44" s="29" t="str">
        <f>IF(C44="","",IF(C44="Entrée",O43+N44,IF(C44="Sortie",O43-N44)))</f>
        <v/>
      </c>
      <c r="P44" s="30"/>
      <c r="Q44" s="31"/>
      <c r="R44" s="25" t="str">
        <f t="shared" si="10"/>
        <v/>
      </c>
      <c r="S44" s="94"/>
    </row>
    <row r="45" spans="2:19" ht="6.6" customHeight="1" x14ac:dyDescent="0.25">
      <c r="B45" s="139"/>
      <c r="C45" s="6"/>
      <c r="D45" s="101"/>
      <c r="E45" s="101"/>
      <c r="F45" s="101"/>
      <c r="G45" s="6"/>
      <c r="H45" s="6"/>
      <c r="I45" s="6"/>
      <c r="J45" s="6"/>
      <c r="K45" s="6"/>
      <c r="N45" s="6"/>
      <c r="O45" s="6"/>
      <c r="P45" s="6"/>
      <c r="Q45" s="6"/>
      <c r="R45" s="25"/>
      <c r="S45" s="94"/>
    </row>
    <row r="46" spans="2:19" ht="26.1" customHeight="1" x14ac:dyDescent="0.25">
      <c r="B46" s="139"/>
      <c r="C46" s="6"/>
      <c r="D46" s="101"/>
      <c r="E46" s="101"/>
      <c r="F46" s="110" t="s">
        <v>18</v>
      </c>
      <c r="G46" s="33">
        <f>SUMIF(C33:C44,"Entrée",G33:G44)</f>
        <v>0</v>
      </c>
      <c r="H46" s="6"/>
      <c r="I46" s="6"/>
      <c r="J46" s="6"/>
      <c r="K46" s="6"/>
      <c r="L46" s="6"/>
      <c r="O46" s="15"/>
      <c r="P46" s="61"/>
      <c r="Q46" s="34" t="s">
        <v>20</v>
      </c>
      <c r="R46" s="33">
        <f>SUMIF(C33:C44,"Entrée",N33:N44)</f>
        <v>0</v>
      </c>
      <c r="S46" s="269"/>
    </row>
    <row r="47" spans="2:19" ht="26.1" customHeight="1" x14ac:dyDescent="0.25">
      <c r="B47" s="139"/>
      <c r="C47" s="6"/>
      <c r="E47" s="101"/>
      <c r="F47" s="110" t="s">
        <v>19</v>
      </c>
      <c r="G47" s="33">
        <f>SUMIF(C33:C44,"Sortie",G33:G44)</f>
        <v>105</v>
      </c>
      <c r="H47" s="6"/>
      <c r="I47" s="6"/>
      <c r="J47" s="6"/>
      <c r="K47" s="6"/>
      <c r="L47" s="6"/>
      <c r="O47" s="15"/>
      <c r="P47" s="61"/>
      <c r="Q47" s="34" t="s">
        <v>21</v>
      </c>
      <c r="R47" s="33">
        <f>SUMIF(C33:C44,"Sortie",N33:N44)</f>
        <v>0</v>
      </c>
      <c r="S47" s="269"/>
    </row>
    <row r="48" spans="2:19" ht="12.75" customHeight="1" x14ac:dyDescent="0.25">
      <c r="B48" s="139"/>
      <c r="J48" s="1"/>
      <c r="K48" s="1"/>
      <c r="Q48" s="1"/>
      <c r="R48" s="1"/>
    </row>
    <row r="49" spans="10:18" ht="12.75" customHeight="1" x14ac:dyDescent="0.25">
      <c r="J49" s="1"/>
      <c r="K49" s="1"/>
      <c r="Q49" s="1"/>
      <c r="R49" s="1"/>
    </row>
    <row r="50" spans="10:18" ht="12.75" customHeight="1" x14ac:dyDescent="0.25">
      <c r="J50" s="1"/>
      <c r="K50" s="1"/>
      <c r="Q50" s="1"/>
      <c r="R50" s="1"/>
    </row>
    <row r="51" spans="10:18" ht="12.75" customHeight="1" x14ac:dyDescent="0.25">
      <c r="J51" s="1"/>
      <c r="K51" s="1"/>
      <c r="Q51" s="1"/>
      <c r="R51" s="1"/>
    </row>
    <row r="52" spans="10:18" ht="12.75" customHeight="1" x14ac:dyDescent="0.25">
      <c r="J52" s="1"/>
      <c r="K52" s="1"/>
      <c r="Q52" s="1"/>
      <c r="R52" s="1"/>
    </row>
    <row r="53" spans="10:18" ht="12.75" customHeight="1" x14ac:dyDescent="0.25">
      <c r="J53" s="1"/>
      <c r="K53" s="1"/>
      <c r="Q53" s="1"/>
      <c r="R53" s="1"/>
    </row>
    <row r="54" spans="10:18" ht="12.75" customHeight="1" x14ac:dyDescent="0.25">
      <c r="J54" s="1"/>
      <c r="K54" s="1"/>
      <c r="Q54" s="1"/>
      <c r="R54" s="1"/>
    </row>
    <row r="55" spans="10:18" ht="12.75" customHeight="1" x14ac:dyDescent="0.25">
      <c r="J55" s="1"/>
      <c r="K55" s="1"/>
      <c r="Q55" s="1"/>
      <c r="R55" s="1"/>
    </row>
    <row r="56" spans="10:18" ht="12.75" customHeight="1" x14ac:dyDescent="0.25">
      <c r="J56" s="1"/>
      <c r="K56" s="1"/>
      <c r="Q56" s="1"/>
      <c r="R56" s="1"/>
    </row>
    <row r="57" spans="10:18" ht="12.75" customHeight="1" x14ac:dyDescent="0.25">
      <c r="J57" s="1"/>
      <c r="K57" s="1"/>
      <c r="Q57" s="1"/>
      <c r="R57" s="1"/>
    </row>
    <row r="58" spans="10:18" ht="12.75" customHeight="1" x14ac:dyDescent="0.25">
      <c r="J58" s="1"/>
      <c r="K58" s="1"/>
      <c r="Q58" s="1"/>
      <c r="R58" s="1"/>
    </row>
    <row r="59" spans="10:18" ht="12.75" customHeight="1" x14ac:dyDescent="0.25">
      <c r="J59" s="1"/>
      <c r="K59" s="1"/>
      <c r="Q59" s="1"/>
      <c r="R59" s="1"/>
    </row>
    <row r="60" spans="10:18" ht="12.75" customHeight="1" x14ac:dyDescent="0.25">
      <c r="J60" s="1"/>
      <c r="K60" s="1"/>
      <c r="Q60" s="1"/>
      <c r="R60" s="1"/>
    </row>
    <row r="61" spans="10:18" ht="12.75" customHeight="1" x14ac:dyDescent="0.25">
      <c r="J61" s="1"/>
      <c r="K61" s="1"/>
      <c r="Q61" s="1"/>
      <c r="R61" s="1"/>
    </row>
    <row r="62" spans="10:18" ht="12.75" customHeight="1" x14ac:dyDescent="0.25">
      <c r="J62" s="1"/>
      <c r="K62" s="1"/>
      <c r="Q62" s="1"/>
      <c r="R62" s="1"/>
    </row>
    <row r="63" spans="10:18" ht="12.75" customHeight="1" x14ac:dyDescent="0.25">
      <c r="J63" s="1"/>
      <c r="K63" s="1"/>
      <c r="Q63" s="1"/>
      <c r="R63" s="1"/>
    </row>
    <row r="64" spans="10:18" ht="12.75" customHeight="1" x14ac:dyDescent="0.25">
      <c r="J64" s="1"/>
      <c r="K64" s="1"/>
      <c r="Q64" s="1"/>
      <c r="R64" s="1"/>
    </row>
    <row r="65" spans="10:18" ht="12.75" customHeight="1" x14ac:dyDescent="0.25">
      <c r="J65" s="1"/>
      <c r="K65" s="1"/>
      <c r="Q65" s="1"/>
      <c r="R65" s="1"/>
    </row>
    <row r="66" spans="10:18" ht="12.75" customHeight="1" x14ac:dyDescent="0.25">
      <c r="J66" s="1"/>
      <c r="K66" s="1"/>
      <c r="Q66" s="1"/>
      <c r="R66" s="1"/>
    </row>
    <row r="67" spans="10:18" ht="12.75" customHeight="1" x14ac:dyDescent="0.25">
      <c r="J67" s="1"/>
      <c r="K67" s="1"/>
      <c r="Q67" s="1"/>
      <c r="R67" s="1"/>
    </row>
    <row r="68" spans="10:18" ht="12.75" customHeight="1" x14ac:dyDescent="0.25">
      <c r="J68" s="1"/>
      <c r="K68" s="1"/>
      <c r="Q68" s="1"/>
      <c r="R68" s="1"/>
    </row>
    <row r="69" spans="10:18" ht="12.75" customHeight="1" x14ac:dyDescent="0.25">
      <c r="J69" s="1"/>
      <c r="K69" s="1"/>
      <c r="Q69" s="1"/>
      <c r="R69" s="1"/>
    </row>
    <row r="70" spans="10:18" ht="12.75" customHeight="1" x14ac:dyDescent="0.25">
      <c r="J70" s="1"/>
      <c r="K70" s="1"/>
      <c r="Q70" s="1"/>
      <c r="R70" s="1"/>
    </row>
    <row r="71" spans="10:18" ht="12.75" customHeight="1" x14ac:dyDescent="0.25">
      <c r="J71" s="1"/>
      <c r="K71" s="1"/>
      <c r="Q71" s="1"/>
      <c r="R71" s="1"/>
    </row>
    <row r="72" spans="10:18" ht="12.75" customHeight="1" x14ac:dyDescent="0.25">
      <c r="J72" s="1"/>
      <c r="K72" s="1"/>
      <c r="Q72" s="1"/>
      <c r="R72" s="1"/>
    </row>
    <row r="73" spans="10:18" ht="12.75" customHeight="1" x14ac:dyDescent="0.25">
      <c r="J73" s="1"/>
      <c r="K73" s="1"/>
      <c r="Q73" s="1"/>
      <c r="R73" s="1"/>
    </row>
    <row r="74" spans="10:18" ht="12.75" customHeight="1" x14ac:dyDescent="0.25">
      <c r="J74" s="1"/>
      <c r="K74" s="1"/>
      <c r="Q74" s="1"/>
      <c r="R74" s="1"/>
    </row>
    <row r="75" spans="10:18" ht="12.75" customHeight="1" x14ac:dyDescent="0.25">
      <c r="J75" s="1"/>
      <c r="K75" s="1"/>
      <c r="Q75" s="1"/>
      <c r="R75" s="1"/>
    </row>
    <row r="76" spans="10:18" ht="12.75" customHeight="1" x14ac:dyDescent="0.25">
      <c r="J76" s="1"/>
      <c r="K76" s="1"/>
      <c r="Q76" s="1"/>
      <c r="R76" s="1"/>
    </row>
    <row r="77" spans="10:18" ht="12.75" customHeight="1" x14ac:dyDescent="0.25">
      <c r="J77" s="1"/>
      <c r="K77" s="1"/>
      <c r="Q77" s="1"/>
      <c r="R77" s="1"/>
    </row>
    <row r="78" spans="10:18" ht="12.75" customHeight="1" x14ac:dyDescent="0.25">
      <c r="J78" s="1"/>
      <c r="K78" s="1"/>
      <c r="Q78" s="1"/>
      <c r="R78" s="1"/>
    </row>
    <row r="79" spans="10:18" ht="12.75" customHeight="1" x14ac:dyDescent="0.25">
      <c r="J79" s="1"/>
      <c r="K79" s="1"/>
      <c r="Q79" s="1"/>
      <c r="R79" s="1"/>
    </row>
    <row r="80" spans="10:18" ht="12.75" customHeight="1" x14ac:dyDescent="0.25">
      <c r="J80" s="1"/>
      <c r="K80" s="1"/>
      <c r="Q80" s="1"/>
      <c r="R80" s="1"/>
    </row>
    <row r="81" spans="10:18" ht="12.75" customHeight="1" x14ac:dyDescent="0.25">
      <c r="J81" s="1"/>
      <c r="K81" s="1"/>
      <c r="Q81" s="1"/>
      <c r="R81" s="1"/>
    </row>
    <row r="82" spans="10:18" ht="12.75" customHeight="1" x14ac:dyDescent="0.25">
      <c r="J82" s="1"/>
      <c r="K82" s="1"/>
      <c r="Q82" s="1"/>
      <c r="R82" s="1"/>
    </row>
    <row r="83" spans="10:18" ht="12.75" customHeight="1" x14ac:dyDescent="0.25">
      <c r="J83" s="1"/>
      <c r="K83" s="1"/>
      <c r="Q83" s="1"/>
      <c r="R83" s="1"/>
    </row>
    <row r="84" spans="10:18" ht="12.75" customHeight="1" x14ac:dyDescent="0.25">
      <c r="J84" s="1"/>
      <c r="K84" s="1"/>
      <c r="Q84" s="1"/>
      <c r="R84" s="1"/>
    </row>
    <row r="85" spans="10:18" ht="12.75" customHeight="1" x14ac:dyDescent="0.25">
      <c r="J85" s="1"/>
      <c r="K85" s="1"/>
      <c r="Q85" s="1"/>
      <c r="R85" s="1"/>
    </row>
    <row r="86" spans="10:18" ht="12.75" customHeight="1" x14ac:dyDescent="0.25">
      <c r="J86" s="1"/>
      <c r="K86" s="1"/>
      <c r="Q86" s="1"/>
      <c r="R86" s="1"/>
    </row>
    <row r="87" spans="10:18" ht="12.75" customHeight="1" x14ac:dyDescent="0.25">
      <c r="J87" s="1"/>
      <c r="K87" s="1"/>
      <c r="Q87" s="1"/>
      <c r="R87" s="1"/>
    </row>
    <row r="88" spans="10:18" ht="12.75" customHeight="1" x14ac:dyDescent="0.25">
      <c r="J88" s="1"/>
      <c r="K88" s="1"/>
      <c r="Q88" s="1"/>
      <c r="R88" s="1"/>
    </row>
    <row r="89" spans="10:18" ht="12.75" customHeight="1" x14ac:dyDescent="0.25">
      <c r="J89" s="1"/>
      <c r="K89" s="1"/>
      <c r="Q89" s="1"/>
      <c r="R89" s="1"/>
    </row>
    <row r="90" spans="10:18" ht="12.75" customHeight="1" x14ac:dyDescent="0.25">
      <c r="J90" s="1"/>
      <c r="K90" s="1"/>
      <c r="Q90" s="1"/>
      <c r="R90" s="1"/>
    </row>
    <row r="91" spans="10:18" ht="12.75" customHeight="1" x14ac:dyDescent="0.25">
      <c r="J91" s="1"/>
      <c r="K91" s="1"/>
      <c r="Q91" s="1"/>
      <c r="R91" s="1"/>
    </row>
    <row r="92" spans="10:18" ht="12.75" customHeight="1" x14ac:dyDescent="0.25">
      <c r="J92" s="1"/>
      <c r="K92" s="1"/>
      <c r="Q92" s="1"/>
      <c r="R92" s="1"/>
    </row>
    <row r="93" spans="10:18" ht="12.75" customHeight="1" x14ac:dyDescent="0.25">
      <c r="J93" s="1"/>
      <c r="K93" s="1"/>
      <c r="Q93" s="1"/>
      <c r="R93" s="1"/>
    </row>
    <row r="94" spans="10:18" ht="12.75" customHeight="1" x14ac:dyDescent="0.25">
      <c r="J94" s="1"/>
      <c r="K94" s="1"/>
      <c r="Q94" s="1"/>
      <c r="R94" s="1"/>
    </row>
    <row r="95" spans="10:18" ht="12.75" customHeight="1" x14ac:dyDescent="0.25">
      <c r="J95" s="1"/>
      <c r="K95" s="1"/>
      <c r="Q95" s="1"/>
      <c r="R95" s="1"/>
    </row>
    <row r="96" spans="10:18" ht="12.75" customHeight="1" x14ac:dyDescent="0.25">
      <c r="J96" s="1"/>
      <c r="K96" s="1"/>
      <c r="Q96" s="1"/>
      <c r="R96" s="1"/>
    </row>
    <row r="97" spans="10:18" ht="12.75" customHeight="1" x14ac:dyDescent="0.25">
      <c r="J97" s="1"/>
      <c r="K97" s="1"/>
      <c r="Q97" s="1"/>
      <c r="R97" s="1"/>
    </row>
    <row r="98" spans="10:18" ht="12.75" customHeight="1" x14ac:dyDescent="0.25">
      <c r="J98" s="1"/>
      <c r="K98" s="1"/>
      <c r="Q98" s="1"/>
      <c r="R98" s="1"/>
    </row>
    <row r="99" spans="10:18" ht="12.75" customHeight="1" x14ac:dyDescent="0.25">
      <c r="J99" s="1"/>
      <c r="K99" s="1"/>
      <c r="Q99" s="1"/>
      <c r="R99" s="1"/>
    </row>
    <row r="100" spans="10:18" ht="12.75" customHeight="1" x14ac:dyDescent="0.25">
      <c r="J100" s="1"/>
      <c r="K100" s="1"/>
      <c r="Q100" s="1"/>
      <c r="R100" s="1"/>
    </row>
    <row r="101" spans="10:18" ht="12.75" customHeight="1" x14ac:dyDescent="0.25">
      <c r="J101" s="1"/>
      <c r="K101" s="1"/>
      <c r="Q101" s="1"/>
      <c r="R101" s="1"/>
    </row>
    <row r="102" spans="10:18" ht="12.75" customHeight="1" x14ac:dyDescent="0.25">
      <c r="J102" s="1"/>
      <c r="K102" s="1"/>
      <c r="Q102" s="1"/>
      <c r="R102" s="1"/>
    </row>
    <row r="103" spans="10:18" ht="12.75" customHeight="1" x14ac:dyDescent="0.25">
      <c r="J103" s="1"/>
      <c r="K103" s="1"/>
      <c r="Q103" s="1"/>
      <c r="R103" s="1"/>
    </row>
    <row r="104" spans="10:18" ht="12.75" customHeight="1" x14ac:dyDescent="0.25">
      <c r="J104" s="1"/>
      <c r="K104" s="1"/>
      <c r="Q104" s="1"/>
      <c r="R104" s="1"/>
    </row>
    <row r="105" spans="10:18" ht="12.75" customHeight="1" x14ac:dyDescent="0.25">
      <c r="J105" s="1"/>
      <c r="K105" s="1"/>
      <c r="Q105" s="1"/>
      <c r="R105" s="1"/>
    </row>
    <row r="106" spans="10:18" ht="12.75" customHeight="1" x14ac:dyDescent="0.25">
      <c r="J106" s="1"/>
      <c r="K106" s="1"/>
      <c r="Q106" s="1"/>
      <c r="R106" s="1"/>
    </row>
    <row r="107" spans="10:18" ht="12.75" customHeight="1" x14ac:dyDescent="0.25">
      <c r="J107" s="1"/>
      <c r="K107" s="1"/>
      <c r="Q107" s="1"/>
      <c r="R107" s="1"/>
    </row>
    <row r="108" spans="10:18" ht="12.75" customHeight="1" x14ac:dyDescent="0.25">
      <c r="J108" s="1"/>
      <c r="K108" s="1"/>
      <c r="Q108" s="1"/>
      <c r="R108" s="1"/>
    </row>
    <row r="109" spans="10:18" ht="12.75" customHeight="1" x14ac:dyDescent="0.25">
      <c r="J109" s="1"/>
      <c r="K109" s="1"/>
      <c r="Q109" s="1"/>
      <c r="R109" s="1"/>
    </row>
    <row r="110" spans="10:18" ht="12.75" customHeight="1" x14ac:dyDescent="0.25">
      <c r="J110" s="1"/>
      <c r="K110" s="1"/>
      <c r="Q110" s="1"/>
      <c r="R110" s="1"/>
    </row>
    <row r="111" spans="10:18" ht="12.75" customHeight="1" x14ac:dyDescent="0.25">
      <c r="J111" s="1"/>
      <c r="K111" s="1"/>
      <c r="Q111" s="1"/>
      <c r="R111" s="1"/>
    </row>
    <row r="112" spans="10:18" ht="12.75" customHeight="1" x14ac:dyDescent="0.25">
      <c r="J112" s="1"/>
      <c r="K112" s="1"/>
      <c r="Q112" s="1"/>
      <c r="R112" s="1"/>
    </row>
    <row r="113" spans="10:18" ht="12.75" customHeight="1" x14ac:dyDescent="0.25">
      <c r="J113" s="1"/>
      <c r="K113" s="1"/>
      <c r="Q113" s="1"/>
      <c r="R113" s="1"/>
    </row>
    <row r="114" spans="10:18" ht="12.75" customHeight="1" x14ac:dyDescent="0.25">
      <c r="J114" s="1"/>
      <c r="K114" s="1"/>
      <c r="Q114" s="1"/>
      <c r="R114" s="1"/>
    </row>
    <row r="115" spans="10:18" ht="12.75" customHeight="1" x14ac:dyDescent="0.25">
      <c r="J115" s="1"/>
      <c r="K115" s="1"/>
      <c r="Q115" s="1"/>
      <c r="R115" s="1"/>
    </row>
    <row r="116" spans="10:18" ht="12.75" customHeight="1" x14ac:dyDescent="0.25">
      <c r="J116" s="1"/>
      <c r="K116" s="1"/>
      <c r="Q116" s="1"/>
      <c r="R116" s="1"/>
    </row>
    <row r="117" spans="10:18" ht="12.75" customHeight="1" x14ac:dyDescent="0.25">
      <c r="J117" s="1"/>
      <c r="K117" s="1"/>
      <c r="Q117" s="1"/>
      <c r="R117" s="1"/>
    </row>
    <row r="118" spans="10:18" ht="12.75" customHeight="1" x14ac:dyDescent="0.25">
      <c r="J118" s="1"/>
      <c r="K118" s="1"/>
      <c r="Q118" s="1"/>
      <c r="R118" s="1"/>
    </row>
    <row r="119" spans="10:18" ht="12.75" customHeight="1" x14ac:dyDescent="0.25">
      <c r="J119" s="1"/>
      <c r="K119" s="1"/>
      <c r="Q119" s="1"/>
      <c r="R119" s="1"/>
    </row>
    <row r="120" spans="10:18" ht="12.75" customHeight="1" x14ac:dyDescent="0.25">
      <c r="J120" s="1"/>
      <c r="K120" s="1"/>
      <c r="Q120" s="1"/>
      <c r="R120" s="1"/>
    </row>
    <row r="121" spans="10:18" ht="12.75" customHeight="1" x14ac:dyDescent="0.25">
      <c r="J121" s="1"/>
      <c r="K121" s="1"/>
      <c r="Q121" s="1"/>
      <c r="R121" s="1"/>
    </row>
    <row r="122" spans="10:18" ht="12.75" customHeight="1" x14ac:dyDescent="0.25">
      <c r="J122" s="1"/>
      <c r="K122" s="1"/>
      <c r="Q122" s="1"/>
      <c r="R122" s="1"/>
    </row>
    <row r="123" spans="10:18" ht="12.75" customHeight="1" x14ac:dyDescent="0.25">
      <c r="J123" s="1"/>
      <c r="K123" s="1"/>
      <c r="Q123" s="1"/>
      <c r="R123" s="1"/>
    </row>
    <row r="124" spans="10:18" ht="12.75" customHeight="1" x14ac:dyDescent="0.25">
      <c r="J124" s="1"/>
      <c r="K124" s="1"/>
      <c r="Q124" s="1"/>
      <c r="R124" s="1"/>
    </row>
    <row r="125" spans="10:18" ht="12.75" customHeight="1" x14ac:dyDescent="0.25">
      <c r="J125" s="1"/>
      <c r="K125" s="1"/>
      <c r="Q125" s="1"/>
      <c r="R125" s="1"/>
    </row>
    <row r="126" spans="10:18" ht="12.75" customHeight="1" x14ac:dyDescent="0.25">
      <c r="J126" s="1"/>
      <c r="K126" s="1"/>
      <c r="Q126" s="1"/>
      <c r="R126" s="1"/>
    </row>
    <row r="127" spans="10:18" ht="12.75" customHeight="1" x14ac:dyDescent="0.25">
      <c r="J127" s="1"/>
      <c r="K127" s="1"/>
      <c r="Q127" s="1"/>
      <c r="R127" s="1"/>
    </row>
    <row r="128" spans="10:18" ht="12.75" customHeight="1" x14ac:dyDescent="0.25">
      <c r="J128" s="1"/>
      <c r="K128" s="1"/>
      <c r="Q128" s="1"/>
      <c r="R128" s="1"/>
    </row>
    <row r="129" spans="10:18" ht="12.75" customHeight="1" x14ac:dyDescent="0.25">
      <c r="J129" s="1"/>
      <c r="K129" s="1"/>
      <c r="Q129" s="1"/>
      <c r="R129" s="1"/>
    </row>
    <row r="130" spans="10:18" ht="12.75" customHeight="1" x14ac:dyDescent="0.25">
      <c r="J130" s="1"/>
      <c r="K130" s="1"/>
      <c r="Q130" s="1"/>
      <c r="R130" s="1"/>
    </row>
    <row r="131" spans="10:18" ht="12.75" customHeight="1" x14ac:dyDescent="0.25">
      <c r="J131" s="1"/>
      <c r="K131" s="1"/>
      <c r="Q131" s="1"/>
      <c r="R131" s="1"/>
    </row>
    <row r="132" spans="10:18" ht="12.75" customHeight="1" x14ac:dyDescent="0.25">
      <c r="J132" s="1"/>
      <c r="K132" s="1"/>
      <c r="Q132" s="1"/>
      <c r="R132" s="1"/>
    </row>
    <row r="133" spans="10:18" ht="12.75" customHeight="1" x14ac:dyDescent="0.25">
      <c r="J133" s="1"/>
      <c r="K133" s="1"/>
      <c r="Q133" s="1"/>
      <c r="R133" s="1"/>
    </row>
    <row r="134" spans="10:18" ht="12.75" customHeight="1" x14ac:dyDescent="0.25">
      <c r="J134" s="1"/>
      <c r="K134" s="1"/>
      <c r="Q134" s="1"/>
      <c r="R134" s="1"/>
    </row>
    <row r="135" spans="10:18" ht="12.75" customHeight="1" x14ac:dyDescent="0.25">
      <c r="J135" s="1"/>
      <c r="K135" s="1"/>
      <c r="Q135" s="1"/>
      <c r="R135" s="1"/>
    </row>
    <row r="136" spans="10:18" ht="12.75" customHeight="1" x14ac:dyDescent="0.25">
      <c r="J136" s="1"/>
      <c r="K136" s="1"/>
      <c r="Q136" s="1"/>
      <c r="R136" s="1"/>
    </row>
    <row r="137" spans="10:18" ht="12.75" customHeight="1" x14ac:dyDescent="0.25">
      <c r="J137" s="1"/>
      <c r="K137" s="1"/>
      <c r="Q137" s="1"/>
      <c r="R137" s="1"/>
    </row>
    <row r="138" spans="10:18" ht="12.75" customHeight="1" x14ac:dyDescent="0.25">
      <c r="J138" s="1"/>
      <c r="K138" s="1"/>
      <c r="Q138" s="1"/>
      <c r="R138" s="1"/>
    </row>
    <row r="139" spans="10:18" ht="12.75" customHeight="1" x14ac:dyDescent="0.25">
      <c r="J139" s="1"/>
      <c r="K139" s="1"/>
      <c r="Q139" s="1"/>
      <c r="R139" s="1"/>
    </row>
    <row r="140" spans="10:18" ht="12.75" customHeight="1" x14ac:dyDescent="0.25">
      <c r="J140" s="1"/>
      <c r="K140" s="1"/>
      <c r="Q140" s="1"/>
      <c r="R140" s="1"/>
    </row>
    <row r="141" spans="10:18" ht="12.75" customHeight="1" x14ac:dyDescent="0.25">
      <c r="J141" s="1"/>
      <c r="K141" s="1"/>
      <c r="Q141" s="1"/>
      <c r="R141" s="1"/>
    </row>
    <row r="142" spans="10:18" ht="12.75" customHeight="1" x14ac:dyDescent="0.25">
      <c r="J142" s="1"/>
      <c r="K142" s="1"/>
      <c r="Q142" s="1"/>
      <c r="R142" s="1"/>
    </row>
    <row r="143" spans="10:18" ht="12.75" customHeight="1" x14ac:dyDescent="0.25">
      <c r="J143" s="1"/>
      <c r="K143" s="1"/>
      <c r="Q143" s="1"/>
      <c r="R143" s="1"/>
    </row>
    <row r="144" spans="10:18" ht="12.75" customHeight="1" x14ac:dyDescent="0.25">
      <c r="J144" s="1"/>
      <c r="K144" s="1"/>
      <c r="Q144" s="1"/>
      <c r="R144" s="1"/>
    </row>
    <row r="145" spans="10:18" ht="12.75" customHeight="1" x14ac:dyDescent="0.25">
      <c r="J145" s="1"/>
      <c r="K145" s="1"/>
      <c r="Q145" s="1"/>
      <c r="R145" s="1"/>
    </row>
    <row r="146" spans="10:18" ht="12.75" customHeight="1" x14ac:dyDescent="0.25">
      <c r="J146" s="1"/>
      <c r="K146" s="1"/>
      <c r="Q146" s="1"/>
      <c r="R146" s="1"/>
    </row>
    <row r="147" spans="10:18" ht="12.75" customHeight="1" x14ac:dyDescent="0.25">
      <c r="J147" s="1"/>
      <c r="K147" s="1"/>
      <c r="Q147" s="1"/>
      <c r="R147" s="1"/>
    </row>
    <row r="148" spans="10:18" ht="12.75" customHeight="1" x14ac:dyDescent="0.25">
      <c r="J148" s="1"/>
      <c r="K148" s="1"/>
      <c r="Q148" s="1"/>
      <c r="R148" s="1"/>
    </row>
    <row r="149" spans="10:18" ht="12.75" customHeight="1" x14ac:dyDescent="0.25">
      <c r="J149" s="1"/>
      <c r="K149" s="1"/>
      <c r="Q149" s="1"/>
      <c r="R149" s="1"/>
    </row>
    <row r="150" spans="10:18" ht="12.75" customHeight="1" x14ac:dyDescent="0.25">
      <c r="J150" s="1"/>
      <c r="K150" s="1"/>
      <c r="Q150" s="1"/>
      <c r="R150" s="1"/>
    </row>
    <row r="151" spans="10:18" ht="12.75" customHeight="1" x14ac:dyDescent="0.25">
      <c r="J151" s="1"/>
      <c r="K151" s="1"/>
      <c r="Q151" s="1"/>
      <c r="R151" s="1"/>
    </row>
    <row r="152" spans="10:18" ht="12.75" customHeight="1" x14ac:dyDescent="0.25">
      <c r="J152" s="1"/>
      <c r="K152" s="1"/>
      <c r="Q152" s="1"/>
      <c r="R152" s="1"/>
    </row>
    <row r="153" spans="10:18" ht="12.75" customHeight="1" x14ac:dyDescent="0.25">
      <c r="J153" s="1"/>
      <c r="K153" s="1"/>
      <c r="Q153" s="1"/>
      <c r="R153" s="1"/>
    </row>
    <row r="154" spans="10:18" ht="12.75" customHeight="1" x14ac:dyDescent="0.25">
      <c r="J154" s="1"/>
      <c r="K154" s="1"/>
      <c r="Q154" s="1"/>
      <c r="R154" s="1"/>
    </row>
    <row r="155" spans="10:18" ht="12.75" customHeight="1" x14ac:dyDescent="0.25">
      <c r="J155" s="1"/>
      <c r="K155" s="1"/>
      <c r="Q155" s="1"/>
      <c r="R155" s="1"/>
    </row>
    <row r="156" spans="10:18" ht="12.75" customHeight="1" x14ac:dyDescent="0.25">
      <c r="J156" s="1"/>
      <c r="K156" s="1"/>
      <c r="Q156" s="1"/>
      <c r="R156" s="1"/>
    </row>
    <row r="157" spans="10:18" ht="12.75" customHeight="1" x14ac:dyDescent="0.25">
      <c r="J157" s="1"/>
      <c r="K157" s="1"/>
      <c r="Q157" s="1"/>
      <c r="R157" s="1"/>
    </row>
    <row r="158" spans="10:18" ht="12.75" customHeight="1" x14ac:dyDescent="0.25">
      <c r="J158" s="1"/>
      <c r="K158" s="1"/>
      <c r="Q158" s="1"/>
      <c r="R158" s="1"/>
    </row>
    <row r="159" spans="10:18" ht="12.75" customHeight="1" x14ac:dyDescent="0.25">
      <c r="J159" s="1"/>
      <c r="K159" s="1"/>
      <c r="Q159" s="1"/>
      <c r="R159" s="1"/>
    </row>
    <row r="160" spans="10:18" ht="12.75" customHeight="1" x14ac:dyDescent="0.25">
      <c r="J160" s="1"/>
      <c r="K160" s="1"/>
      <c r="Q160" s="1"/>
      <c r="R160" s="1"/>
    </row>
    <row r="161" spans="10:18" ht="12.75" customHeight="1" x14ac:dyDescent="0.25">
      <c r="J161" s="1"/>
      <c r="K161" s="1"/>
      <c r="Q161" s="1"/>
      <c r="R161" s="1"/>
    </row>
    <row r="162" spans="10:18" ht="12.75" customHeight="1" x14ac:dyDescent="0.25">
      <c r="J162" s="1"/>
      <c r="K162" s="1"/>
      <c r="Q162" s="1"/>
      <c r="R162" s="1"/>
    </row>
    <row r="163" spans="10:18" ht="12.75" customHeight="1" x14ac:dyDescent="0.25">
      <c r="J163" s="1"/>
      <c r="K163" s="1"/>
      <c r="Q163" s="1"/>
      <c r="R163" s="1"/>
    </row>
    <row r="164" spans="10:18" ht="12.75" customHeight="1" x14ac:dyDescent="0.25">
      <c r="J164" s="1"/>
      <c r="K164" s="1"/>
      <c r="Q164" s="1"/>
      <c r="R164" s="1"/>
    </row>
    <row r="165" spans="10:18" ht="12.75" customHeight="1" x14ac:dyDescent="0.25">
      <c r="J165" s="1"/>
      <c r="K165" s="1"/>
      <c r="Q165" s="1"/>
      <c r="R165" s="1"/>
    </row>
    <row r="166" spans="10:18" ht="12.75" customHeight="1" x14ac:dyDescent="0.25">
      <c r="J166" s="1"/>
      <c r="K166" s="1"/>
      <c r="Q166" s="1"/>
      <c r="R166" s="1"/>
    </row>
    <row r="167" spans="10:18" ht="12.75" customHeight="1" x14ac:dyDescent="0.25">
      <c r="J167" s="1"/>
      <c r="K167" s="1"/>
      <c r="Q167" s="1"/>
      <c r="R167" s="1"/>
    </row>
    <row r="168" spans="10:18" ht="12.75" customHeight="1" x14ac:dyDescent="0.25">
      <c r="J168" s="1"/>
      <c r="K168" s="1"/>
      <c r="Q168" s="1"/>
      <c r="R168" s="1"/>
    </row>
    <row r="169" spans="10:18" ht="12.75" customHeight="1" x14ac:dyDescent="0.25">
      <c r="J169" s="1"/>
      <c r="K169" s="1"/>
      <c r="Q169" s="1"/>
      <c r="R169" s="1"/>
    </row>
    <row r="170" spans="10:18" ht="12.75" customHeight="1" x14ac:dyDescent="0.25">
      <c r="J170" s="1"/>
      <c r="K170" s="1"/>
      <c r="Q170" s="1"/>
      <c r="R170" s="1"/>
    </row>
    <row r="171" spans="10:18" ht="12.75" customHeight="1" x14ac:dyDescent="0.25">
      <c r="J171" s="1"/>
      <c r="K171" s="1"/>
      <c r="Q171" s="1"/>
      <c r="R171" s="1"/>
    </row>
    <row r="172" spans="10:18" ht="12.75" customHeight="1" x14ac:dyDescent="0.25">
      <c r="J172" s="1"/>
      <c r="K172" s="1"/>
      <c r="Q172" s="1"/>
      <c r="R172" s="1"/>
    </row>
    <row r="173" spans="10:18" ht="12.75" customHeight="1" x14ac:dyDescent="0.25">
      <c r="J173" s="1"/>
      <c r="K173" s="1"/>
      <c r="Q173" s="1"/>
      <c r="R173" s="1"/>
    </row>
    <row r="174" spans="10:18" ht="12.75" customHeight="1" x14ac:dyDescent="0.25">
      <c r="J174" s="1"/>
      <c r="K174" s="1"/>
      <c r="Q174" s="1"/>
      <c r="R174" s="1"/>
    </row>
    <row r="175" spans="10:18" ht="12.75" customHeight="1" x14ac:dyDescent="0.25">
      <c r="J175" s="1"/>
      <c r="K175" s="1"/>
      <c r="Q175" s="1"/>
      <c r="R175" s="1"/>
    </row>
    <row r="176" spans="10:18" ht="12.75" customHeight="1" x14ac:dyDescent="0.25">
      <c r="J176" s="1"/>
      <c r="K176" s="1"/>
      <c r="Q176" s="1"/>
      <c r="R176" s="1"/>
    </row>
    <row r="177" spans="10:18" ht="12.75" customHeight="1" x14ac:dyDescent="0.25">
      <c r="J177" s="1"/>
      <c r="K177" s="1"/>
      <c r="Q177" s="1"/>
      <c r="R177" s="1"/>
    </row>
    <row r="178" spans="10:18" ht="12.75" customHeight="1" x14ac:dyDescent="0.25">
      <c r="J178" s="1"/>
      <c r="K178" s="1"/>
      <c r="Q178" s="1"/>
      <c r="R178" s="1"/>
    </row>
    <row r="179" spans="10:18" ht="12.75" customHeight="1" x14ac:dyDescent="0.25">
      <c r="J179" s="1"/>
      <c r="K179" s="1"/>
      <c r="Q179" s="1"/>
      <c r="R179" s="1"/>
    </row>
    <row r="180" spans="10:18" ht="12.75" customHeight="1" x14ac:dyDescent="0.25">
      <c r="J180" s="1"/>
      <c r="K180" s="1"/>
      <c r="Q180" s="1"/>
      <c r="R180" s="1"/>
    </row>
    <row r="181" spans="10:18" ht="12.75" customHeight="1" x14ac:dyDescent="0.25">
      <c r="J181" s="1"/>
      <c r="K181" s="1"/>
      <c r="Q181" s="1"/>
      <c r="R181" s="1"/>
    </row>
    <row r="182" spans="10:18" ht="12.75" customHeight="1" x14ac:dyDescent="0.25">
      <c r="J182" s="1"/>
      <c r="K182" s="1"/>
      <c r="Q182" s="1"/>
      <c r="R182" s="1"/>
    </row>
    <row r="183" spans="10:18" ht="12.75" customHeight="1" x14ac:dyDescent="0.25">
      <c r="J183" s="1"/>
      <c r="K183" s="1"/>
      <c r="Q183" s="1"/>
      <c r="R183" s="1"/>
    </row>
    <row r="184" spans="10:18" ht="12.75" customHeight="1" x14ac:dyDescent="0.25">
      <c r="J184" s="1"/>
      <c r="K184" s="1"/>
      <c r="Q184" s="1"/>
      <c r="R184" s="1"/>
    </row>
    <row r="185" spans="10:18" ht="12.75" customHeight="1" x14ac:dyDescent="0.25">
      <c r="J185" s="1"/>
      <c r="K185" s="1"/>
      <c r="Q185" s="1"/>
      <c r="R185" s="1"/>
    </row>
    <row r="186" spans="10:18" ht="12.75" customHeight="1" x14ac:dyDescent="0.25">
      <c r="J186" s="1"/>
      <c r="K186" s="1"/>
      <c r="Q186" s="1"/>
      <c r="R186" s="1"/>
    </row>
    <row r="187" spans="10:18" ht="12.75" customHeight="1" x14ac:dyDescent="0.25">
      <c r="J187" s="1"/>
      <c r="K187" s="1"/>
      <c r="Q187" s="1"/>
      <c r="R187" s="1"/>
    </row>
    <row r="188" spans="10:18" ht="12.75" customHeight="1" x14ac:dyDescent="0.25">
      <c r="J188" s="1"/>
      <c r="K188" s="1"/>
      <c r="Q188" s="1"/>
      <c r="R188" s="1"/>
    </row>
    <row r="189" spans="10:18" ht="12.75" customHeight="1" x14ac:dyDescent="0.25">
      <c r="J189" s="1"/>
      <c r="K189" s="1"/>
      <c r="Q189" s="1"/>
      <c r="R189" s="1"/>
    </row>
    <row r="190" spans="10:18" ht="12.75" customHeight="1" x14ac:dyDescent="0.25">
      <c r="J190" s="1"/>
      <c r="K190" s="1"/>
      <c r="Q190" s="1"/>
      <c r="R190" s="1"/>
    </row>
    <row r="191" spans="10:18" ht="12.75" customHeight="1" x14ac:dyDescent="0.25">
      <c r="J191" s="1"/>
      <c r="K191" s="1"/>
      <c r="Q191" s="1"/>
      <c r="R191" s="1"/>
    </row>
    <row r="192" spans="10:18" ht="12.75" customHeight="1" x14ac:dyDescent="0.25">
      <c r="J192" s="1"/>
      <c r="K192" s="1"/>
      <c r="Q192" s="1"/>
      <c r="R192" s="1"/>
    </row>
    <row r="193" spans="10:18" ht="12.75" customHeight="1" x14ac:dyDescent="0.25">
      <c r="J193" s="1"/>
      <c r="K193" s="1"/>
      <c r="Q193" s="1"/>
      <c r="R193" s="1"/>
    </row>
    <row r="194" spans="10:18" ht="12.75" customHeight="1" x14ac:dyDescent="0.25">
      <c r="J194" s="1"/>
      <c r="K194" s="1"/>
      <c r="Q194" s="1"/>
      <c r="R194" s="1"/>
    </row>
    <row r="195" spans="10:18" ht="12.75" customHeight="1" x14ac:dyDescent="0.25">
      <c r="J195" s="1"/>
      <c r="K195" s="1"/>
      <c r="Q195" s="1"/>
      <c r="R195" s="1"/>
    </row>
    <row r="196" spans="10:18" ht="12.75" customHeight="1" x14ac:dyDescent="0.25">
      <c r="J196" s="1"/>
      <c r="K196" s="1"/>
      <c r="Q196" s="1"/>
      <c r="R196" s="1"/>
    </row>
    <row r="197" spans="10:18" ht="12.75" customHeight="1" x14ac:dyDescent="0.25">
      <c r="J197" s="1"/>
      <c r="K197" s="1"/>
      <c r="Q197" s="1"/>
      <c r="R197" s="1"/>
    </row>
    <row r="198" spans="10:18" ht="12.75" customHeight="1" x14ac:dyDescent="0.25">
      <c r="J198" s="1"/>
      <c r="K198" s="1"/>
      <c r="Q198" s="1"/>
      <c r="R198" s="1"/>
    </row>
    <row r="199" spans="10:18" ht="12.75" customHeight="1" x14ac:dyDescent="0.25">
      <c r="J199" s="1"/>
      <c r="K199" s="1"/>
      <c r="Q199" s="1"/>
      <c r="R199" s="1"/>
    </row>
    <row r="200" spans="10:18" ht="12.75" customHeight="1" x14ac:dyDescent="0.25">
      <c r="J200" s="1"/>
      <c r="K200" s="1"/>
      <c r="Q200" s="1"/>
      <c r="R200" s="1"/>
    </row>
    <row r="201" spans="10:18" ht="12.75" customHeight="1" x14ac:dyDescent="0.25">
      <c r="J201" s="1"/>
      <c r="K201" s="1"/>
      <c r="Q201" s="1"/>
      <c r="R201" s="1"/>
    </row>
    <row r="202" spans="10:18" ht="12.75" customHeight="1" x14ac:dyDescent="0.25">
      <c r="J202" s="1"/>
      <c r="K202" s="1"/>
      <c r="Q202" s="1"/>
      <c r="R202" s="1"/>
    </row>
    <row r="203" spans="10:18" ht="12.75" customHeight="1" x14ac:dyDescent="0.25">
      <c r="J203" s="1"/>
      <c r="K203" s="1"/>
      <c r="Q203" s="1"/>
      <c r="R203" s="1"/>
    </row>
    <row r="204" spans="10:18" ht="12.75" customHeight="1" x14ac:dyDescent="0.25">
      <c r="J204" s="1"/>
      <c r="K204" s="1"/>
      <c r="Q204" s="1"/>
      <c r="R204" s="1"/>
    </row>
    <row r="205" spans="10:18" ht="12.75" customHeight="1" x14ac:dyDescent="0.25">
      <c r="J205" s="1"/>
      <c r="K205" s="1"/>
      <c r="Q205" s="1"/>
      <c r="R205" s="1"/>
    </row>
    <row r="206" spans="10:18" ht="12.75" customHeight="1" x14ac:dyDescent="0.25">
      <c r="J206" s="1"/>
      <c r="K206" s="1"/>
      <c r="Q206" s="1"/>
      <c r="R206" s="1"/>
    </row>
    <row r="207" spans="10:18" ht="12.75" customHeight="1" x14ac:dyDescent="0.25">
      <c r="J207" s="1"/>
      <c r="K207" s="1"/>
      <c r="Q207" s="1"/>
      <c r="R207" s="1"/>
    </row>
    <row r="208" spans="10:18" ht="12.75" customHeight="1" x14ac:dyDescent="0.25">
      <c r="J208" s="1"/>
      <c r="K208" s="1"/>
      <c r="Q208" s="1"/>
      <c r="R208" s="1"/>
    </row>
    <row r="209" spans="10:18" ht="12.75" customHeight="1" x14ac:dyDescent="0.25">
      <c r="J209" s="1"/>
      <c r="K209" s="1"/>
      <c r="Q209" s="1"/>
      <c r="R209" s="1"/>
    </row>
    <row r="210" spans="10:18" ht="12.75" customHeight="1" x14ac:dyDescent="0.25">
      <c r="J210" s="1"/>
      <c r="K210" s="1"/>
      <c r="Q210" s="1"/>
      <c r="R210" s="1"/>
    </row>
    <row r="211" spans="10:18" ht="12.75" customHeight="1" x14ac:dyDescent="0.25">
      <c r="J211" s="1"/>
      <c r="K211" s="1"/>
      <c r="Q211" s="1"/>
      <c r="R211" s="1"/>
    </row>
    <row r="212" spans="10:18" ht="12.75" customHeight="1" x14ac:dyDescent="0.25">
      <c r="J212" s="1"/>
      <c r="K212" s="1"/>
      <c r="Q212" s="1"/>
      <c r="R212" s="1"/>
    </row>
    <row r="213" spans="10:18" ht="12.75" customHeight="1" x14ac:dyDescent="0.25">
      <c r="J213" s="1"/>
      <c r="K213" s="1"/>
      <c r="Q213" s="1"/>
      <c r="R213" s="1"/>
    </row>
    <row r="214" spans="10:18" ht="12.75" customHeight="1" x14ac:dyDescent="0.25">
      <c r="J214" s="1"/>
      <c r="K214" s="1"/>
      <c r="Q214" s="1"/>
      <c r="R214" s="1"/>
    </row>
    <row r="215" spans="10:18" ht="12.75" customHeight="1" x14ac:dyDescent="0.25">
      <c r="J215" s="1"/>
      <c r="K215" s="1"/>
      <c r="Q215" s="1"/>
      <c r="R215" s="1"/>
    </row>
    <row r="216" spans="10:18" ht="12.75" customHeight="1" x14ac:dyDescent="0.25">
      <c r="J216" s="1"/>
      <c r="K216" s="1"/>
      <c r="Q216" s="1"/>
      <c r="R216" s="1"/>
    </row>
    <row r="217" spans="10:18" ht="12.75" customHeight="1" x14ac:dyDescent="0.25">
      <c r="J217" s="1"/>
      <c r="K217" s="1"/>
      <c r="Q217" s="1"/>
      <c r="R217" s="1"/>
    </row>
    <row r="218" spans="10:18" ht="12.75" customHeight="1" x14ac:dyDescent="0.25">
      <c r="J218" s="1"/>
      <c r="K218" s="1"/>
      <c r="Q218" s="1"/>
      <c r="R218" s="1"/>
    </row>
    <row r="219" spans="10:18" ht="12.75" customHeight="1" x14ac:dyDescent="0.25">
      <c r="J219" s="1"/>
      <c r="K219" s="1"/>
      <c r="Q219" s="1"/>
      <c r="R219" s="1"/>
    </row>
    <row r="220" spans="10:18" ht="12.75" customHeight="1" x14ac:dyDescent="0.25">
      <c r="J220" s="1"/>
      <c r="K220" s="1"/>
      <c r="Q220" s="1"/>
      <c r="R220" s="1"/>
    </row>
    <row r="221" spans="10:18" ht="12.75" customHeight="1" x14ac:dyDescent="0.25">
      <c r="J221" s="1"/>
      <c r="K221" s="1"/>
      <c r="Q221" s="1"/>
      <c r="R221" s="1"/>
    </row>
    <row r="222" spans="10:18" ht="12.75" customHeight="1" x14ac:dyDescent="0.25">
      <c r="J222" s="1"/>
      <c r="K222" s="1"/>
      <c r="Q222" s="1"/>
      <c r="R222" s="1"/>
    </row>
    <row r="223" spans="10:18" ht="12.75" customHeight="1" x14ac:dyDescent="0.25">
      <c r="J223" s="1"/>
      <c r="K223" s="1"/>
      <c r="Q223" s="1"/>
      <c r="R223" s="1"/>
    </row>
    <row r="224" spans="10:18" ht="12.75" customHeight="1" x14ac:dyDescent="0.25">
      <c r="J224" s="1"/>
      <c r="K224" s="1"/>
      <c r="Q224" s="1"/>
      <c r="R224" s="1"/>
    </row>
    <row r="225" spans="10:18" ht="12.75" customHeight="1" x14ac:dyDescent="0.25">
      <c r="J225" s="1"/>
      <c r="K225" s="1"/>
      <c r="Q225" s="1"/>
      <c r="R225" s="1"/>
    </row>
    <row r="226" spans="10:18" ht="12.75" customHeight="1" x14ac:dyDescent="0.25">
      <c r="J226" s="1"/>
      <c r="K226" s="1"/>
      <c r="Q226" s="1"/>
      <c r="R226" s="1"/>
    </row>
    <row r="227" spans="10:18" ht="12.75" customHeight="1" x14ac:dyDescent="0.25">
      <c r="J227" s="1"/>
      <c r="K227" s="1"/>
      <c r="Q227" s="1"/>
      <c r="R227" s="1"/>
    </row>
    <row r="228" spans="10:18" ht="12.75" customHeight="1" x14ac:dyDescent="0.25">
      <c r="J228" s="1"/>
      <c r="K228" s="1"/>
      <c r="Q228" s="1"/>
      <c r="R228" s="1"/>
    </row>
    <row r="229" spans="10:18" ht="12.75" customHeight="1" x14ac:dyDescent="0.25">
      <c r="J229" s="1"/>
      <c r="K229" s="1"/>
      <c r="Q229" s="1"/>
      <c r="R229" s="1"/>
    </row>
    <row r="230" spans="10:18" ht="12.75" customHeight="1" x14ac:dyDescent="0.25">
      <c r="J230" s="1"/>
      <c r="K230" s="1"/>
      <c r="Q230" s="1"/>
      <c r="R230" s="1"/>
    </row>
    <row r="231" spans="10:18" ht="12.75" customHeight="1" x14ac:dyDescent="0.25">
      <c r="J231" s="1"/>
      <c r="K231" s="1"/>
      <c r="Q231" s="1"/>
      <c r="R231" s="1"/>
    </row>
    <row r="232" spans="10:18" ht="12.75" customHeight="1" x14ac:dyDescent="0.25">
      <c r="J232" s="1"/>
      <c r="K232" s="1"/>
      <c r="Q232" s="1"/>
      <c r="R232" s="1"/>
    </row>
    <row r="233" spans="10:18" ht="12.75" customHeight="1" x14ac:dyDescent="0.25">
      <c r="J233" s="1"/>
      <c r="K233" s="1"/>
      <c r="Q233" s="1"/>
      <c r="R233" s="1"/>
    </row>
    <row r="234" spans="10:18" ht="12.75" customHeight="1" x14ac:dyDescent="0.25">
      <c r="J234" s="1"/>
      <c r="K234" s="1"/>
      <c r="Q234" s="1"/>
      <c r="R234" s="1"/>
    </row>
    <row r="235" spans="10:18" ht="12.75" customHeight="1" x14ac:dyDescent="0.25">
      <c r="J235" s="1"/>
      <c r="K235" s="1"/>
      <c r="Q235" s="1"/>
      <c r="R235" s="1"/>
    </row>
    <row r="236" spans="10:18" ht="12.75" customHeight="1" x14ac:dyDescent="0.25">
      <c r="J236" s="1"/>
      <c r="K236" s="1"/>
      <c r="Q236" s="1"/>
      <c r="R236" s="1"/>
    </row>
    <row r="237" spans="10:18" ht="12.75" customHeight="1" x14ac:dyDescent="0.25">
      <c r="J237" s="1"/>
      <c r="K237" s="1"/>
      <c r="Q237" s="1"/>
      <c r="R237" s="1"/>
    </row>
    <row r="238" spans="10:18" ht="12.75" customHeight="1" x14ac:dyDescent="0.25">
      <c r="J238" s="1"/>
      <c r="K238" s="1"/>
      <c r="Q238" s="1"/>
      <c r="R238" s="1"/>
    </row>
    <row r="239" spans="10:18" ht="12.75" customHeight="1" x14ac:dyDescent="0.25">
      <c r="J239" s="1"/>
      <c r="K239" s="1"/>
      <c r="Q239" s="1"/>
      <c r="R239" s="1"/>
    </row>
    <row r="240" spans="10:18" ht="12.75" customHeight="1" x14ac:dyDescent="0.25">
      <c r="J240" s="1"/>
      <c r="K240" s="1"/>
      <c r="Q240" s="1"/>
      <c r="R240" s="1"/>
    </row>
    <row r="241" spans="10:18" ht="12.75" customHeight="1" x14ac:dyDescent="0.25">
      <c r="J241" s="1"/>
      <c r="K241" s="1"/>
      <c r="Q241" s="1"/>
      <c r="R241" s="1"/>
    </row>
    <row r="242" spans="10:18" ht="12.75" customHeight="1" x14ac:dyDescent="0.25">
      <c r="J242" s="1"/>
      <c r="K242" s="1"/>
      <c r="Q242" s="1"/>
      <c r="R242" s="1"/>
    </row>
    <row r="243" spans="10:18" ht="12.75" customHeight="1" x14ac:dyDescent="0.25">
      <c r="J243" s="1"/>
      <c r="K243" s="1"/>
      <c r="Q243" s="1"/>
      <c r="R243" s="1"/>
    </row>
    <row r="244" spans="10:18" ht="12.75" customHeight="1" x14ac:dyDescent="0.25">
      <c r="J244" s="1"/>
      <c r="K244" s="1"/>
      <c r="Q244" s="1"/>
      <c r="R244" s="1"/>
    </row>
    <row r="245" spans="10:18" ht="12.75" customHeight="1" x14ac:dyDescent="0.25">
      <c r="J245" s="1"/>
      <c r="K245" s="1"/>
      <c r="Q245" s="1"/>
      <c r="R245" s="1"/>
    </row>
    <row r="246" spans="10:18" ht="12.75" customHeight="1" x14ac:dyDescent="0.25">
      <c r="J246" s="1"/>
      <c r="K246" s="1"/>
      <c r="Q246" s="1"/>
      <c r="R246" s="1"/>
    </row>
    <row r="247" spans="10:18" ht="12.75" customHeight="1" x14ac:dyDescent="0.25">
      <c r="J247" s="1"/>
      <c r="K247" s="1"/>
      <c r="Q247" s="1"/>
      <c r="R247" s="1"/>
    </row>
    <row r="248" spans="10:18" ht="12.75" customHeight="1" x14ac:dyDescent="0.25">
      <c r="J248" s="1"/>
      <c r="K248" s="1"/>
      <c r="Q248" s="1"/>
      <c r="R248" s="1"/>
    </row>
    <row r="249" spans="10:18" ht="12.75" customHeight="1" x14ac:dyDescent="0.25">
      <c r="J249" s="1"/>
      <c r="K249" s="1"/>
      <c r="Q249" s="1"/>
      <c r="R249" s="1"/>
    </row>
    <row r="250" spans="10:18" ht="12.75" customHeight="1" x14ac:dyDescent="0.25">
      <c r="J250" s="1"/>
      <c r="K250" s="1"/>
      <c r="Q250" s="1"/>
      <c r="R250" s="1"/>
    </row>
    <row r="251" spans="10:18" ht="12.75" customHeight="1" x14ac:dyDescent="0.25">
      <c r="J251" s="1"/>
      <c r="K251" s="1"/>
      <c r="Q251" s="1"/>
      <c r="R251" s="1"/>
    </row>
    <row r="252" spans="10:18" ht="12.75" customHeight="1" x14ac:dyDescent="0.25">
      <c r="J252" s="1"/>
      <c r="K252" s="1"/>
      <c r="Q252" s="1"/>
      <c r="R252" s="1"/>
    </row>
    <row r="253" spans="10:18" ht="12.75" customHeight="1" x14ac:dyDescent="0.25">
      <c r="J253" s="1"/>
      <c r="K253" s="1"/>
      <c r="Q253" s="1"/>
      <c r="R253" s="1"/>
    </row>
    <row r="254" spans="10:18" ht="12.75" customHeight="1" x14ac:dyDescent="0.25">
      <c r="J254" s="1"/>
      <c r="K254" s="1"/>
      <c r="Q254" s="1"/>
      <c r="R254" s="1"/>
    </row>
    <row r="255" spans="10:18" ht="12.75" customHeight="1" x14ac:dyDescent="0.25">
      <c r="J255" s="1"/>
      <c r="K255" s="1"/>
      <c r="Q255" s="1"/>
      <c r="R255" s="1"/>
    </row>
    <row r="256" spans="10:18" ht="12.75" customHeight="1" x14ac:dyDescent="0.25">
      <c r="J256" s="1"/>
      <c r="K256" s="1"/>
      <c r="Q256" s="1"/>
      <c r="R256" s="1"/>
    </row>
    <row r="257" spans="10:18" ht="12.75" customHeight="1" x14ac:dyDescent="0.25">
      <c r="J257" s="1"/>
      <c r="K257" s="1"/>
      <c r="Q257" s="1"/>
      <c r="R257" s="1"/>
    </row>
    <row r="258" spans="10:18" ht="12.75" customHeight="1" x14ac:dyDescent="0.25">
      <c r="J258" s="1"/>
      <c r="K258" s="1"/>
      <c r="Q258" s="1"/>
      <c r="R258" s="1"/>
    </row>
    <row r="259" spans="10:18" ht="12.75" customHeight="1" x14ac:dyDescent="0.25">
      <c r="J259" s="1"/>
      <c r="K259" s="1"/>
      <c r="Q259" s="1"/>
      <c r="R259" s="1"/>
    </row>
    <row r="260" spans="10:18" ht="12.75" customHeight="1" x14ac:dyDescent="0.25">
      <c r="J260" s="1"/>
      <c r="K260" s="1"/>
      <c r="Q260" s="1"/>
      <c r="R260" s="1"/>
    </row>
    <row r="261" spans="10:18" ht="12.75" customHeight="1" x14ac:dyDescent="0.25">
      <c r="J261" s="1"/>
      <c r="K261" s="1"/>
      <c r="Q261" s="1"/>
      <c r="R261" s="1"/>
    </row>
    <row r="262" spans="10:18" ht="12.75" customHeight="1" x14ac:dyDescent="0.25">
      <c r="J262" s="1"/>
      <c r="K262" s="1"/>
      <c r="Q262" s="1"/>
      <c r="R262" s="1"/>
    </row>
    <row r="263" spans="10:18" ht="12.75" customHeight="1" x14ac:dyDescent="0.25">
      <c r="J263" s="1"/>
      <c r="K263" s="1"/>
      <c r="Q263" s="1"/>
      <c r="R263" s="1"/>
    </row>
    <row r="264" spans="10:18" ht="12.75" customHeight="1" x14ac:dyDescent="0.25">
      <c r="J264" s="1"/>
      <c r="K264" s="1"/>
      <c r="Q264" s="1"/>
      <c r="R264" s="1"/>
    </row>
    <row r="265" spans="10:18" ht="12.75" customHeight="1" x14ac:dyDescent="0.25">
      <c r="J265" s="1"/>
      <c r="K265" s="1"/>
      <c r="Q265" s="1"/>
      <c r="R265" s="1"/>
    </row>
    <row r="266" spans="10:18" ht="12.75" customHeight="1" x14ac:dyDescent="0.25">
      <c r="J266" s="1"/>
      <c r="K266" s="1"/>
      <c r="Q266" s="1"/>
      <c r="R266" s="1"/>
    </row>
    <row r="267" spans="10:18" ht="12.75" customHeight="1" x14ac:dyDescent="0.25">
      <c r="J267" s="1"/>
      <c r="K267" s="1"/>
      <c r="Q267" s="1"/>
      <c r="R267" s="1"/>
    </row>
    <row r="268" spans="10:18" ht="12.75" customHeight="1" x14ac:dyDescent="0.25">
      <c r="J268" s="1"/>
      <c r="K268" s="1"/>
      <c r="Q268" s="1"/>
      <c r="R268" s="1"/>
    </row>
    <row r="269" spans="10:18" ht="12.75" customHeight="1" x14ac:dyDescent="0.25">
      <c r="J269" s="1"/>
      <c r="K269" s="1"/>
      <c r="Q269" s="1"/>
      <c r="R269" s="1"/>
    </row>
    <row r="270" spans="10:18" ht="12.75" customHeight="1" x14ac:dyDescent="0.25">
      <c r="J270" s="1"/>
      <c r="K270" s="1"/>
      <c r="Q270" s="1"/>
      <c r="R270" s="1"/>
    </row>
    <row r="271" spans="10:18" ht="12.75" customHeight="1" x14ac:dyDescent="0.25">
      <c r="J271" s="1"/>
      <c r="K271" s="1"/>
      <c r="Q271" s="1"/>
      <c r="R271" s="1"/>
    </row>
    <row r="272" spans="10:18" ht="12.75" customHeight="1" x14ac:dyDescent="0.25">
      <c r="J272" s="1"/>
      <c r="K272" s="1"/>
      <c r="Q272" s="1"/>
      <c r="R272" s="1"/>
    </row>
    <row r="273" spans="10:18" ht="12.75" customHeight="1" x14ac:dyDescent="0.25">
      <c r="J273" s="1"/>
      <c r="K273" s="1"/>
      <c r="Q273" s="1"/>
      <c r="R273" s="1"/>
    </row>
    <row r="274" spans="10:18" ht="12.75" customHeight="1" x14ac:dyDescent="0.25">
      <c r="J274" s="1"/>
      <c r="K274" s="1"/>
      <c r="Q274" s="1"/>
      <c r="R274" s="1"/>
    </row>
    <row r="275" spans="10:18" ht="12.75" customHeight="1" x14ac:dyDescent="0.25">
      <c r="J275" s="1"/>
      <c r="K275" s="1"/>
      <c r="Q275" s="1"/>
      <c r="R275" s="1"/>
    </row>
    <row r="276" spans="10:18" ht="12.75" customHeight="1" x14ac:dyDescent="0.25">
      <c r="J276" s="1"/>
      <c r="K276" s="1"/>
      <c r="Q276" s="1"/>
      <c r="R276" s="1"/>
    </row>
    <row r="277" spans="10:18" ht="12.75" customHeight="1" x14ac:dyDescent="0.25">
      <c r="J277" s="1"/>
      <c r="K277" s="1"/>
      <c r="Q277" s="1"/>
      <c r="R277" s="1"/>
    </row>
    <row r="278" spans="10:18" ht="12.75" customHeight="1" x14ac:dyDescent="0.25">
      <c r="J278" s="1"/>
      <c r="K278" s="1"/>
      <c r="Q278" s="1"/>
      <c r="R278" s="1"/>
    </row>
    <row r="279" spans="10:18" ht="12.75" customHeight="1" x14ac:dyDescent="0.25">
      <c r="J279" s="1"/>
      <c r="K279" s="1"/>
      <c r="Q279" s="1"/>
      <c r="R279" s="1"/>
    </row>
    <row r="280" spans="10:18" ht="12.75" customHeight="1" x14ac:dyDescent="0.25">
      <c r="J280" s="1"/>
      <c r="K280" s="1"/>
      <c r="Q280" s="1"/>
      <c r="R280" s="1"/>
    </row>
    <row r="281" spans="10:18" ht="12.75" customHeight="1" x14ac:dyDescent="0.25">
      <c r="J281" s="1"/>
      <c r="K281" s="1"/>
      <c r="Q281" s="1"/>
      <c r="R281" s="1"/>
    </row>
    <row r="282" spans="10:18" ht="12.75" customHeight="1" x14ac:dyDescent="0.25">
      <c r="J282" s="1"/>
      <c r="K282" s="1"/>
      <c r="Q282" s="1"/>
      <c r="R282" s="1"/>
    </row>
    <row r="283" spans="10:18" ht="12.75" customHeight="1" x14ac:dyDescent="0.25">
      <c r="J283" s="1"/>
      <c r="K283" s="1"/>
      <c r="Q283" s="1"/>
      <c r="R283" s="1"/>
    </row>
    <row r="284" spans="10:18" ht="12.75" customHeight="1" x14ac:dyDescent="0.25">
      <c r="J284" s="1"/>
      <c r="K284" s="1"/>
      <c r="Q284" s="1"/>
      <c r="R284" s="1"/>
    </row>
    <row r="285" spans="10:18" ht="12.75" customHeight="1" x14ac:dyDescent="0.25">
      <c r="J285" s="1"/>
      <c r="K285" s="1"/>
      <c r="Q285" s="1"/>
      <c r="R285" s="1"/>
    </row>
    <row r="286" spans="10:18" ht="12.75" customHeight="1" x14ac:dyDescent="0.25">
      <c r="J286" s="1"/>
      <c r="K286" s="1"/>
      <c r="Q286" s="1"/>
      <c r="R286" s="1"/>
    </row>
    <row r="287" spans="10:18" ht="12.75" customHeight="1" x14ac:dyDescent="0.25">
      <c r="J287" s="1"/>
      <c r="K287" s="1"/>
      <c r="Q287" s="1"/>
      <c r="R287" s="1"/>
    </row>
    <row r="288" spans="10:18" ht="12.75" customHeight="1" x14ac:dyDescent="0.25">
      <c r="J288" s="1"/>
      <c r="K288" s="1"/>
      <c r="Q288" s="1"/>
      <c r="R288" s="1"/>
    </row>
    <row r="289" spans="10:18" ht="12.75" customHeight="1" x14ac:dyDescent="0.25">
      <c r="J289" s="1"/>
      <c r="K289" s="1"/>
      <c r="Q289" s="1"/>
      <c r="R289" s="1"/>
    </row>
    <row r="290" spans="10:18" ht="12.75" customHeight="1" x14ac:dyDescent="0.25">
      <c r="J290" s="1"/>
      <c r="K290" s="1"/>
      <c r="Q290" s="1"/>
      <c r="R290" s="1"/>
    </row>
    <row r="291" spans="10:18" ht="12.75" customHeight="1" x14ac:dyDescent="0.25">
      <c r="J291" s="1"/>
      <c r="K291" s="1"/>
      <c r="Q291" s="1"/>
      <c r="R291" s="1"/>
    </row>
    <row r="292" spans="10:18" ht="12.75" customHeight="1" x14ac:dyDescent="0.25">
      <c r="J292" s="1"/>
      <c r="K292" s="1"/>
      <c r="Q292" s="1"/>
      <c r="R292" s="1"/>
    </row>
    <row r="293" spans="10:18" ht="12.75" customHeight="1" x14ac:dyDescent="0.25">
      <c r="J293" s="1"/>
      <c r="K293" s="1"/>
      <c r="Q293" s="1"/>
      <c r="R293" s="1"/>
    </row>
    <row r="294" spans="10:18" ht="12.75" customHeight="1" x14ac:dyDescent="0.25">
      <c r="J294" s="1"/>
      <c r="K294" s="1"/>
      <c r="Q294" s="1"/>
      <c r="R294" s="1"/>
    </row>
    <row r="295" spans="10:18" ht="12.75" customHeight="1" x14ac:dyDescent="0.25">
      <c r="J295" s="1"/>
      <c r="K295" s="1"/>
      <c r="Q295" s="1"/>
      <c r="R295" s="1"/>
    </row>
    <row r="296" spans="10:18" ht="12.75" customHeight="1" x14ac:dyDescent="0.25">
      <c r="J296" s="1"/>
      <c r="K296" s="1"/>
      <c r="Q296" s="1"/>
      <c r="R296" s="1"/>
    </row>
    <row r="297" spans="10:18" ht="12.75" customHeight="1" x14ac:dyDescent="0.25">
      <c r="J297" s="1"/>
      <c r="K297" s="1"/>
      <c r="Q297" s="1"/>
      <c r="R297" s="1"/>
    </row>
    <row r="298" spans="10:18" ht="12.75" customHeight="1" x14ac:dyDescent="0.25">
      <c r="J298" s="1"/>
      <c r="K298" s="1"/>
      <c r="Q298" s="1"/>
      <c r="R298" s="1"/>
    </row>
    <row r="299" spans="10:18" ht="12.75" customHeight="1" x14ac:dyDescent="0.25">
      <c r="J299" s="1"/>
      <c r="K299" s="1"/>
      <c r="Q299" s="1"/>
      <c r="R299" s="1"/>
    </row>
    <row r="300" spans="10:18" ht="12.75" customHeight="1" x14ac:dyDescent="0.25">
      <c r="J300" s="1"/>
      <c r="K300" s="1"/>
      <c r="Q300" s="1"/>
      <c r="R300" s="1"/>
    </row>
    <row r="301" spans="10:18" ht="12.75" customHeight="1" x14ac:dyDescent="0.25">
      <c r="J301" s="1"/>
      <c r="K301" s="1"/>
      <c r="Q301" s="1"/>
      <c r="R301" s="1"/>
    </row>
    <row r="302" spans="10:18" ht="12.75" customHeight="1" x14ac:dyDescent="0.25">
      <c r="J302" s="1"/>
      <c r="K302" s="1"/>
      <c r="Q302" s="1"/>
      <c r="R302" s="1"/>
    </row>
    <row r="303" spans="10:18" ht="12.75" customHeight="1" x14ac:dyDescent="0.25">
      <c r="J303" s="1"/>
      <c r="K303" s="1"/>
      <c r="Q303" s="1"/>
      <c r="R303" s="1"/>
    </row>
    <row r="304" spans="10:18" ht="12.75" customHeight="1" x14ac:dyDescent="0.25">
      <c r="J304" s="1"/>
      <c r="K304" s="1"/>
      <c r="Q304" s="1"/>
      <c r="R304" s="1"/>
    </row>
    <row r="305" spans="10:18" ht="12.75" customHeight="1" x14ac:dyDescent="0.25">
      <c r="J305" s="1"/>
      <c r="K305" s="1"/>
      <c r="Q305" s="1"/>
      <c r="R305" s="1"/>
    </row>
    <row r="306" spans="10:18" ht="12.75" customHeight="1" x14ac:dyDescent="0.25">
      <c r="J306" s="1"/>
      <c r="K306" s="1"/>
      <c r="Q306" s="1"/>
      <c r="R306" s="1"/>
    </row>
    <row r="307" spans="10:18" ht="12.75" customHeight="1" x14ac:dyDescent="0.25">
      <c r="J307" s="1"/>
      <c r="K307" s="1"/>
      <c r="Q307" s="1"/>
      <c r="R307" s="1"/>
    </row>
    <row r="308" spans="10:18" ht="12.75" customHeight="1" x14ac:dyDescent="0.25">
      <c r="J308" s="1"/>
      <c r="K308" s="1"/>
      <c r="Q308" s="1"/>
      <c r="R308" s="1"/>
    </row>
    <row r="309" spans="10:18" ht="12.75" customHeight="1" x14ac:dyDescent="0.25">
      <c r="J309" s="1"/>
      <c r="K309" s="1"/>
      <c r="Q309" s="1"/>
      <c r="R309" s="1"/>
    </row>
    <row r="310" spans="10:18" ht="12.75" customHeight="1" x14ac:dyDescent="0.25">
      <c r="J310" s="1"/>
      <c r="K310" s="1"/>
      <c r="Q310" s="1"/>
      <c r="R310" s="1"/>
    </row>
    <row r="311" spans="10:18" ht="12.75" customHeight="1" x14ac:dyDescent="0.25">
      <c r="J311" s="1"/>
      <c r="K311" s="1"/>
      <c r="Q311" s="1"/>
      <c r="R311" s="1"/>
    </row>
    <row r="312" spans="10:18" ht="12.75" customHeight="1" x14ac:dyDescent="0.25">
      <c r="J312" s="1"/>
      <c r="K312" s="1"/>
      <c r="Q312" s="1"/>
      <c r="R312" s="1"/>
    </row>
    <row r="313" spans="10:18" ht="12.75" customHeight="1" x14ac:dyDescent="0.25">
      <c r="J313" s="1"/>
      <c r="K313" s="1"/>
      <c r="Q313" s="1"/>
      <c r="R313" s="1"/>
    </row>
    <row r="314" spans="10:18" ht="12.75" customHeight="1" x14ac:dyDescent="0.25">
      <c r="J314" s="1"/>
      <c r="K314" s="1"/>
      <c r="Q314" s="1"/>
      <c r="R314" s="1"/>
    </row>
    <row r="315" spans="10:18" ht="12.75" customHeight="1" x14ac:dyDescent="0.25">
      <c r="J315" s="1"/>
      <c r="K315" s="1"/>
      <c r="Q315" s="1"/>
      <c r="R315" s="1"/>
    </row>
    <row r="316" spans="10:18" ht="12.75" customHeight="1" x14ac:dyDescent="0.25">
      <c r="J316" s="1"/>
      <c r="K316" s="1"/>
      <c r="Q316" s="1"/>
      <c r="R316" s="1"/>
    </row>
    <row r="317" spans="10:18" ht="12.75" customHeight="1" x14ac:dyDescent="0.25">
      <c r="J317" s="1"/>
      <c r="K317" s="1"/>
      <c r="Q317" s="1"/>
      <c r="R317" s="1"/>
    </row>
    <row r="318" spans="10:18" ht="12.75" customHeight="1" x14ac:dyDescent="0.25">
      <c r="J318" s="1"/>
      <c r="K318" s="1"/>
      <c r="Q318" s="1"/>
      <c r="R318" s="1"/>
    </row>
    <row r="319" spans="10:18" ht="12.75" customHeight="1" x14ac:dyDescent="0.25">
      <c r="J319" s="1"/>
      <c r="K319" s="1"/>
      <c r="Q319" s="1"/>
      <c r="R319" s="1"/>
    </row>
    <row r="320" spans="10:18" ht="12.75" customHeight="1" x14ac:dyDescent="0.25">
      <c r="J320" s="1"/>
      <c r="K320" s="1"/>
      <c r="Q320" s="1"/>
      <c r="R320" s="1"/>
    </row>
    <row r="321" spans="10:18" ht="12.75" customHeight="1" x14ac:dyDescent="0.25">
      <c r="J321" s="1"/>
      <c r="K321" s="1"/>
      <c r="Q321" s="1"/>
      <c r="R321" s="1"/>
    </row>
    <row r="322" spans="10:18" ht="12.75" customHeight="1" x14ac:dyDescent="0.25">
      <c r="J322" s="1"/>
      <c r="K322" s="1"/>
      <c r="Q322" s="1"/>
      <c r="R322" s="1"/>
    </row>
    <row r="323" spans="10:18" ht="12.75" customHeight="1" x14ac:dyDescent="0.25">
      <c r="J323" s="1"/>
      <c r="K323" s="1"/>
      <c r="Q323" s="1"/>
      <c r="R323" s="1"/>
    </row>
    <row r="324" spans="10:18" ht="12.75" customHeight="1" x14ac:dyDescent="0.25">
      <c r="J324" s="1"/>
      <c r="K324" s="1"/>
      <c r="Q324" s="1"/>
      <c r="R324" s="1"/>
    </row>
    <row r="325" spans="10:18" ht="12.75" customHeight="1" x14ac:dyDescent="0.25">
      <c r="J325" s="1"/>
      <c r="K325" s="1"/>
      <c r="Q325" s="1"/>
      <c r="R325" s="1"/>
    </row>
    <row r="326" spans="10:18" ht="12.75" customHeight="1" x14ac:dyDescent="0.25">
      <c r="J326" s="1"/>
      <c r="K326" s="1"/>
      <c r="Q326" s="1"/>
      <c r="R326" s="1"/>
    </row>
    <row r="327" spans="10:18" ht="12.75" customHeight="1" x14ac:dyDescent="0.25">
      <c r="J327" s="1"/>
      <c r="K327" s="1"/>
      <c r="Q327" s="1"/>
      <c r="R327" s="1"/>
    </row>
    <row r="328" spans="10:18" ht="12.75" customHeight="1" x14ac:dyDescent="0.25">
      <c r="J328" s="1"/>
      <c r="K328" s="1"/>
      <c r="Q328" s="1"/>
      <c r="R328" s="1"/>
    </row>
    <row r="329" spans="10:18" ht="12.75" customHeight="1" x14ac:dyDescent="0.25">
      <c r="J329" s="1"/>
      <c r="K329" s="1"/>
      <c r="Q329" s="1"/>
      <c r="R329" s="1"/>
    </row>
    <row r="330" spans="10:18" ht="12.75" customHeight="1" x14ac:dyDescent="0.25">
      <c r="J330" s="1"/>
      <c r="K330" s="1"/>
      <c r="Q330" s="1"/>
      <c r="R330" s="1"/>
    </row>
    <row r="331" spans="10:18" ht="12.75" customHeight="1" x14ac:dyDescent="0.25">
      <c r="J331" s="1"/>
      <c r="K331" s="1"/>
      <c r="Q331" s="1"/>
      <c r="R331" s="1"/>
    </row>
    <row r="332" spans="10:18" ht="12.75" customHeight="1" x14ac:dyDescent="0.25">
      <c r="J332" s="1"/>
      <c r="K332" s="1"/>
      <c r="Q332" s="1"/>
      <c r="R332" s="1"/>
    </row>
    <row r="333" spans="10:18" ht="12.75" customHeight="1" x14ac:dyDescent="0.25">
      <c r="J333" s="1"/>
      <c r="K333" s="1"/>
      <c r="Q333" s="1"/>
      <c r="R333" s="1"/>
    </row>
    <row r="334" spans="10:18" ht="12.75" customHeight="1" x14ac:dyDescent="0.25">
      <c r="J334" s="1"/>
      <c r="K334" s="1"/>
      <c r="Q334" s="1"/>
      <c r="R334" s="1"/>
    </row>
  </sheetData>
  <mergeCells count="8">
    <mergeCell ref="Q29:R29"/>
    <mergeCell ref="N29:O29"/>
    <mergeCell ref="J29:K29"/>
    <mergeCell ref="G29:H29"/>
    <mergeCell ref="G5:H5"/>
    <mergeCell ref="J5:K5"/>
    <mergeCell ref="N5:O5"/>
    <mergeCell ref="Q5:R5"/>
  </mergeCells>
  <phoneticPr fontId="49" type="noConversion"/>
  <conditionalFormatting sqref="K9:K22 R9:R21 K33:K44 R33:R45">
    <cfRule type="cellIs" dxfId="3" priority="18" operator="equal">
      <formula>""""""</formula>
    </cfRule>
    <cfRule type="cellIs" dxfId="2" priority="19" operator="equal">
      <formula>0</formula>
    </cfRule>
    <cfRule type="cellIs" dxfId="1" priority="20" operator="lessThan">
      <formula>0</formula>
    </cfRule>
    <cfRule type="cellIs" dxfId="0" priority="21" operator="greaterThan">
      <formula>0</formula>
    </cfRule>
  </conditionalFormatting>
  <dataValidations count="1">
    <dataValidation type="list" allowBlank="1" showInputMessage="1" showErrorMessage="1" sqref="C10:C23 C33:C45">
      <formula1>"Entrée,Sortie"</formula1>
    </dataValidation>
  </dataValidations>
  <hyperlinks>
    <hyperlink ref="R1" location="Accueil!A1" tooltip="Menu" display="Menu"/>
  </hyperlinks>
  <pageMargins left="0.23622047244094491" right="0.23622047244094491" top="0.74803149606299213" bottom="0.74803149606299213" header="0.31496062992125984" footer="0.31496062992125984"/>
  <pageSetup scale="56" fitToHeight="0" orientation="landscape" r:id="rId1"/>
  <headerFooter>
    <oddFooter>&amp;L&amp;F / &amp;A&amp;C&amp;P/&amp;N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theme="1" tint="0.249977111117893"/>
    <pageSetUpPr fitToPage="1"/>
  </sheetPr>
  <dimension ref="A1:U340"/>
  <sheetViews>
    <sheetView zoomScale="115" zoomScaleNormal="115" workbookViewId="0">
      <pane ySplit="3" topLeftCell="A31" activePane="bottomLeft" state="frozen"/>
      <selection activeCell="Q3" sqref="Q3:R3"/>
      <selection pane="bottomLeft" activeCell="H52" sqref="H52"/>
    </sheetView>
  </sheetViews>
  <sheetFormatPr baseColWidth="10" defaultColWidth="12.5546875" defaultRowHeight="15" customHeight="1" outlineLevelRow="1" x14ac:dyDescent="0.25"/>
  <cols>
    <col min="1" max="1" width="2.109375" customWidth="1"/>
    <col min="2" max="2" width="16.21875" style="127" customWidth="1"/>
    <col min="3" max="3" width="8.88671875" style="10" customWidth="1"/>
    <col min="4" max="4" width="11.44140625" style="115" customWidth="1"/>
    <col min="5" max="5" width="21.44140625" customWidth="1"/>
    <col min="6" max="6" width="18.33203125" customWidth="1"/>
    <col min="7" max="7" width="11.33203125" customWidth="1"/>
    <col min="8" max="8" width="11.5546875" customWidth="1"/>
    <col min="9" max="9" width="0.88671875" customWidth="1"/>
    <col min="10" max="10" width="9.5546875" customWidth="1"/>
    <col min="11" max="11" width="11.6640625" bestFit="1" customWidth="1"/>
    <col min="12" max="12" width="1.109375" customWidth="1"/>
    <col min="13" max="13" width="3.5546875" customWidth="1"/>
    <col min="14" max="14" width="9.5546875" customWidth="1"/>
    <col min="15" max="15" width="11.5546875" customWidth="1"/>
    <col min="16" max="16" width="0.88671875" customWidth="1"/>
    <col min="17" max="17" width="8.88671875" customWidth="1"/>
    <col min="18" max="18" width="10.6640625" customWidth="1"/>
    <col min="19" max="19" width="1.109375" customWidth="1"/>
    <col min="20" max="20" width="17" customWidth="1"/>
    <col min="21" max="27" width="10" customWidth="1"/>
  </cols>
  <sheetData>
    <row r="1" spans="2:19" ht="12.75" customHeight="1" x14ac:dyDescent="0.25">
      <c r="B1" s="126" t="s">
        <v>22</v>
      </c>
      <c r="K1" s="45" t="s">
        <v>10</v>
      </c>
      <c r="R1" s="91" t="s">
        <v>36</v>
      </c>
    </row>
    <row r="2" spans="2:19" ht="12.75" customHeight="1" x14ac:dyDescent="0.25"/>
    <row r="3" spans="2:19" ht="23.25" customHeight="1" x14ac:dyDescent="0.4">
      <c r="B3" s="128" t="s">
        <v>6</v>
      </c>
      <c r="G3" s="36" t="s">
        <v>43</v>
      </c>
      <c r="J3" s="1"/>
      <c r="K3" s="1"/>
      <c r="N3" s="36"/>
      <c r="Q3" s="195" t="s">
        <v>53</v>
      </c>
      <c r="R3" s="291" t="str">
        <f ca="1">TEXT(TODAY(),"mmmm")</f>
        <v>janvier</v>
      </c>
    </row>
    <row r="4" spans="2:19" ht="12.75" customHeight="1" x14ac:dyDescent="0.25">
      <c r="J4" s="1"/>
      <c r="K4" s="2"/>
      <c r="Q4" s="1"/>
      <c r="R4" s="2"/>
    </row>
    <row r="5" spans="2:19" ht="15.75" customHeight="1" x14ac:dyDescent="0.3">
      <c r="B5" s="197" t="s">
        <v>54</v>
      </c>
      <c r="C5" s="74"/>
      <c r="D5" s="74"/>
      <c r="E5" s="74"/>
      <c r="F5" s="75"/>
      <c r="G5" s="308" t="s">
        <v>16</v>
      </c>
      <c r="H5" s="309"/>
      <c r="I5" s="76"/>
      <c r="J5" s="310" t="s">
        <v>0</v>
      </c>
      <c r="K5" s="311"/>
      <c r="L5" s="77"/>
      <c r="M5" s="77"/>
      <c r="N5" s="308" t="s">
        <v>17</v>
      </c>
      <c r="O5" s="309"/>
      <c r="P5" s="76"/>
      <c r="Q5" s="310" t="s">
        <v>0</v>
      </c>
      <c r="R5" s="311"/>
      <c r="S5" s="267"/>
    </row>
    <row r="6" spans="2:19" ht="22.5" customHeight="1" x14ac:dyDescent="0.25">
      <c r="B6" s="46" t="s">
        <v>1</v>
      </c>
      <c r="C6" s="7" t="s">
        <v>7</v>
      </c>
      <c r="D6" s="47" t="s">
        <v>5</v>
      </c>
      <c r="E6" s="48" t="s">
        <v>14</v>
      </c>
      <c r="F6" s="93" t="s">
        <v>42</v>
      </c>
      <c r="G6" s="82" t="s">
        <v>2</v>
      </c>
      <c r="H6" s="50" t="s">
        <v>13</v>
      </c>
      <c r="I6" s="23"/>
      <c r="J6" s="81" t="s">
        <v>0</v>
      </c>
      <c r="K6" s="84" t="s">
        <v>3</v>
      </c>
      <c r="N6" s="83" t="s">
        <v>2</v>
      </c>
      <c r="O6" s="40" t="s">
        <v>13</v>
      </c>
      <c r="P6" s="23"/>
      <c r="Q6" s="81" t="s">
        <v>0</v>
      </c>
      <c r="R6" s="84" t="s">
        <v>3</v>
      </c>
      <c r="S6" s="267"/>
    </row>
    <row r="7" spans="2:19" ht="4.5" customHeight="1" x14ac:dyDescent="0.25">
      <c r="F7" s="23"/>
      <c r="G7" s="54"/>
      <c r="H7" s="23"/>
      <c r="I7" s="23"/>
      <c r="J7" s="55"/>
      <c r="K7" s="25"/>
      <c r="N7" s="54"/>
      <c r="O7" s="23"/>
      <c r="P7" s="23"/>
      <c r="Q7" s="55"/>
      <c r="R7" s="25"/>
      <c r="S7" s="267"/>
    </row>
    <row r="8" spans="2:19" ht="17.399999999999999" x14ac:dyDescent="0.3">
      <c r="B8" s="174" t="s">
        <v>47</v>
      </c>
      <c r="C8" s="174"/>
      <c r="D8" s="174"/>
      <c r="E8" s="174"/>
      <c r="F8" s="175"/>
      <c r="G8" s="56"/>
      <c r="H8" s="4"/>
      <c r="I8" s="23"/>
      <c r="J8" s="4"/>
      <c r="K8" s="57"/>
      <c r="N8" s="56"/>
      <c r="O8" s="4"/>
      <c r="P8" s="23"/>
      <c r="Q8" s="4"/>
      <c r="R8" s="57"/>
      <c r="S8" s="267"/>
    </row>
    <row r="9" spans="2:19" ht="13.2" outlineLevel="1" x14ac:dyDescent="0.25">
      <c r="B9" s="179" t="s">
        <v>82</v>
      </c>
      <c r="C9" s="16"/>
      <c r="D9" s="117"/>
      <c r="E9" s="37"/>
      <c r="F9" s="51"/>
      <c r="G9" s="58"/>
      <c r="H9" s="18"/>
      <c r="I9" s="19"/>
      <c r="J9" s="288"/>
      <c r="K9" s="21" t="str">
        <f>IF(J9="","",J9-H9)</f>
        <v/>
      </c>
      <c r="N9" s="58"/>
      <c r="O9" s="18"/>
      <c r="P9" s="19"/>
      <c r="Q9" s="288"/>
      <c r="R9" s="21" t="str">
        <f>IF(Q9="","",Q9-O9)</f>
        <v/>
      </c>
      <c r="S9" s="267"/>
    </row>
    <row r="10" spans="2:19" ht="13.2" outlineLevel="1" x14ac:dyDescent="0.25">
      <c r="B10" s="177">
        <v>46024</v>
      </c>
      <c r="C10" s="292"/>
      <c r="D10" s="293"/>
      <c r="E10" s="294" t="s">
        <v>46</v>
      </c>
      <c r="F10" s="295"/>
      <c r="G10" s="297"/>
      <c r="H10" s="181">
        <v>10965</v>
      </c>
      <c r="I10" s="23"/>
      <c r="J10" s="286">
        <v>10965</v>
      </c>
      <c r="K10" s="160">
        <f t="shared" ref="K10:K23" si="0">IF(J10="","",J10-H10)</f>
        <v>0</v>
      </c>
      <c r="N10" s="297"/>
      <c r="O10" s="181">
        <v>5267</v>
      </c>
      <c r="P10" s="161"/>
      <c r="Q10" s="286">
        <v>5267</v>
      </c>
      <c r="R10" s="160">
        <f t="shared" ref="R10:R23" si="1">IF(Q10="","",Q10-O10)</f>
        <v>0</v>
      </c>
      <c r="S10" s="267"/>
    </row>
    <row r="11" spans="2:19" ht="13.2" outlineLevel="1" x14ac:dyDescent="0.25">
      <c r="B11" s="177">
        <v>46025</v>
      </c>
      <c r="C11" s="292" t="s">
        <v>8</v>
      </c>
      <c r="D11" s="293"/>
      <c r="E11" s="294" t="s">
        <v>46</v>
      </c>
      <c r="F11" s="295"/>
      <c r="G11" s="297"/>
      <c r="H11" s="13">
        <f t="shared" ref="H11:H12" si="2">IF(C11="","",IF(C11="Entrée",H10+G11,IF(C11="Sortie",H10-G11)))</f>
        <v>10965</v>
      </c>
      <c r="I11" s="23"/>
      <c r="J11" s="286">
        <f>6973+199+700+271+124+754+1131+812+1</f>
        <v>10965</v>
      </c>
      <c r="K11" s="160">
        <f t="shared" ref="K11" si="3">IF(J11="","",J11-H11)</f>
        <v>0</v>
      </c>
      <c r="N11" s="297"/>
      <c r="O11" s="13">
        <f t="shared" ref="O11:O22" si="4">IF(C11="","",IF(C11="Entrée",O10+N11,IF(C11="Sortie",O10-N11)))</f>
        <v>5267</v>
      </c>
      <c r="P11" s="161"/>
      <c r="Q11" s="286">
        <f>10+10+8+3+17+87+16+22+428+3301+1365</f>
        <v>5267</v>
      </c>
      <c r="R11" s="160">
        <f t="shared" si="1"/>
        <v>0</v>
      </c>
      <c r="S11" s="267"/>
    </row>
    <row r="12" spans="2:19" ht="13.2" outlineLevel="1" x14ac:dyDescent="0.25">
      <c r="B12" s="177">
        <v>46025</v>
      </c>
      <c r="C12" s="12" t="s">
        <v>9</v>
      </c>
      <c r="D12" s="243">
        <v>110</v>
      </c>
      <c r="E12" s="244" t="s">
        <v>86</v>
      </c>
      <c r="F12" s="245"/>
      <c r="G12" s="66">
        <v>770</v>
      </c>
      <c r="H12" s="13">
        <f t="shared" si="2"/>
        <v>10195</v>
      </c>
      <c r="I12" s="23"/>
      <c r="J12" s="286"/>
      <c r="K12" s="160" t="str">
        <f t="shared" si="0"/>
        <v/>
      </c>
      <c r="N12" s="66">
        <v>70</v>
      </c>
      <c r="O12" s="13">
        <f t="shared" si="4"/>
        <v>5197</v>
      </c>
      <c r="P12" s="23"/>
      <c r="Q12" s="286"/>
      <c r="R12" s="160" t="str">
        <f t="shared" si="1"/>
        <v/>
      </c>
      <c r="S12" s="267"/>
    </row>
    <row r="13" spans="2:19" ht="13.2" outlineLevel="1" x14ac:dyDescent="0.25">
      <c r="B13" s="177">
        <v>46026</v>
      </c>
      <c r="C13" s="292" t="s">
        <v>8</v>
      </c>
      <c r="D13" s="293"/>
      <c r="E13" s="294" t="s">
        <v>46</v>
      </c>
      <c r="F13" s="295"/>
      <c r="G13" s="297"/>
      <c r="H13" s="13">
        <f>IF(C13="","",IF(C13="Entrée",H12+G13,IF(C13="Sortie",H12-G13)))</f>
        <v>10195</v>
      </c>
      <c r="I13" s="23"/>
      <c r="J13" s="286">
        <v>10195</v>
      </c>
      <c r="K13" s="160">
        <f>IF(J13="","",J13-H13)</f>
        <v>0</v>
      </c>
      <c r="N13" s="297"/>
      <c r="O13" s="13">
        <f t="shared" si="4"/>
        <v>5197</v>
      </c>
      <c r="P13" s="23"/>
      <c r="Q13" s="286">
        <v>5197</v>
      </c>
      <c r="R13" s="160">
        <f t="shared" si="1"/>
        <v>0</v>
      </c>
      <c r="S13" s="267"/>
    </row>
    <row r="14" spans="2:19" ht="13.2" outlineLevel="1" x14ac:dyDescent="0.25">
      <c r="B14" s="177">
        <v>46027</v>
      </c>
      <c r="C14" s="292" t="s">
        <v>8</v>
      </c>
      <c r="D14" s="293"/>
      <c r="E14" s="294" t="s">
        <v>46</v>
      </c>
      <c r="F14" s="295"/>
      <c r="G14" s="297"/>
      <c r="H14" s="13">
        <f>IF(C14="","",IF(C14="Entrée",H13+G14,IF(C14="Sortie",H13-G14)))</f>
        <v>10195</v>
      </c>
      <c r="I14" s="23"/>
      <c r="J14" s="286">
        <f>8498+1696+1</f>
        <v>10195</v>
      </c>
      <c r="K14" s="160">
        <f>IF(J14="","",J14-H14)</f>
        <v>0</v>
      </c>
      <c r="N14" s="297"/>
      <c r="O14" s="13">
        <f t="shared" ref="O14" si="5">IF(C14="","",IF(C14="Entrée",O13+N14,IF(C14="Sortie",O13-N14)))</f>
        <v>5197</v>
      </c>
      <c r="P14" s="23"/>
      <c r="Q14" s="286">
        <f>80+5101+16</f>
        <v>5197</v>
      </c>
      <c r="R14" s="160">
        <f t="shared" ref="R14" si="6">IF(Q14="","",Q14-O14)</f>
        <v>0</v>
      </c>
      <c r="S14" s="267"/>
    </row>
    <row r="15" spans="2:19" ht="12" customHeight="1" outlineLevel="1" x14ac:dyDescent="0.25">
      <c r="B15" s="157"/>
      <c r="C15" s="12"/>
      <c r="D15" s="172"/>
      <c r="E15" s="248"/>
      <c r="F15" s="153"/>
      <c r="G15" s="154"/>
      <c r="H15" s="13" t="str">
        <f t="shared" ref="H14:H22" si="7">IF(C15="","",IF(C15="Entrée",H14+G15,IF(C15="Sortie",H14-G15)))</f>
        <v/>
      </c>
      <c r="I15" s="23"/>
      <c r="J15" s="286"/>
      <c r="K15" s="160" t="str">
        <f t="shared" ref="K14:K22" si="8">IF(J15="","",J15-H15)</f>
        <v/>
      </c>
      <c r="N15" s="66"/>
      <c r="O15" s="13" t="str">
        <f t="shared" si="4"/>
        <v/>
      </c>
      <c r="P15" s="23"/>
      <c r="Q15" s="286"/>
      <c r="R15" s="25" t="str">
        <f t="shared" si="1"/>
        <v/>
      </c>
      <c r="S15" s="267"/>
    </row>
    <row r="16" spans="2:19" ht="12" customHeight="1" outlineLevel="1" x14ac:dyDescent="0.25">
      <c r="B16" s="157"/>
      <c r="C16" s="12"/>
      <c r="D16" s="172"/>
      <c r="E16" s="64"/>
      <c r="F16" s="153"/>
      <c r="G16" s="154"/>
      <c r="H16" s="13" t="str">
        <f t="shared" si="7"/>
        <v/>
      </c>
      <c r="I16" s="23"/>
      <c r="J16" s="286"/>
      <c r="K16" s="160" t="str">
        <f t="shared" si="8"/>
        <v/>
      </c>
      <c r="N16" s="66"/>
      <c r="O16" s="13" t="str">
        <f t="shared" si="4"/>
        <v/>
      </c>
      <c r="P16" s="23"/>
      <c r="Q16" s="286"/>
      <c r="R16" s="25" t="str">
        <f t="shared" si="1"/>
        <v/>
      </c>
      <c r="S16" s="267"/>
    </row>
    <row r="17" spans="1:21" ht="12" customHeight="1" outlineLevel="1" x14ac:dyDescent="0.25">
      <c r="B17" s="157"/>
      <c r="C17" s="12"/>
      <c r="D17" s="172"/>
      <c r="E17" s="64"/>
      <c r="F17" s="153"/>
      <c r="G17" s="154"/>
      <c r="H17" s="13" t="str">
        <f t="shared" si="7"/>
        <v/>
      </c>
      <c r="I17" s="23"/>
      <c r="J17" s="286"/>
      <c r="K17" s="160" t="str">
        <f t="shared" si="8"/>
        <v/>
      </c>
      <c r="N17" s="66"/>
      <c r="O17" s="13" t="str">
        <f t="shared" si="4"/>
        <v/>
      </c>
      <c r="P17" s="23"/>
      <c r="Q17" s="286"/>
      <c r="R17" s="25" t="str">
        <f t="shared" si="1"/>
        <v/>
      </c>
      <c r="S17" s="267"/>
    </row>
    <row r="18" spans="1:21" ht="12" customHeight="1" outlineLevel="1" x14ac:dyDescent="0.25">
      <c r="B18" s="157"/>
      <c r="C18" s="12"/>
      <c r="D18" s="172"/>
      <c r="E18" s="248"/>
      <c r="F18" s="153"/>
      <c r="G18" s="154"/>
      <c r="H18" s="13" t="str">
        <f t="shared" si="7"/>
        <v/>
      </c>
      <c r="I18" s="23"/>
      <c r="J18" s="286"/>
      <c r="K18" s="160" t="str">
        <f t="shared" si="8"/>
        <v/>
      </c>
      <c r="N18" s="66"/>
      <c r="O18" s="13" t="str">
        <f t="shared" si="4"/>
        <v/>
      </c>
      <c r="P18" s="23"/>
      <c r="Q18" s="286"/>
      <c r="R18" s="25" t="str">
        <f t="shared" si="1"/>
        <v/>
      </c>
      <c r="S18" s="267"/>
    </row>
    <row r="19" spans="1:21" ht="12" customHeight="1" outlineLevel="1" x14ac:dyDescent="0.25">
      <c r="B19" s="157"/>
      <c r="C19" s="12"/>
      <c r="D19" s="172"/>
      <c r="E19" s="248"/>
      <c r="F19" s="153"/>
      <c r="G19" s="154"/>
      <c r="H19" s="13" t="str">
        <f t="shared" si="7"/>
        <v/>
      </c>
      <c r="I19" s="23"/>
      <c r="J19" s="286"/>
      <c r="K19" s="160" t="str">
        <f t="shared" si="8"/>
        <v/>
      </c>
      <c r="N19" s="66"/>
      <c r="O19" s="13" t="str">
        <f t="shared" si="4"/>
        <v/>
      </c>
      <c r="P19" s="23"/>
      <c r="Q19" s="286"/>
      <c r="R19" s="25" t="str">
        <f t="shared" si="1"/>
        <v/>
      </c>
      <c r="S19" s="267"/>
    </row>
    <row r="20" spans="1:21" ht="12" customHeight="1" outlineLevel="1" x14ac:dyDescent="0.25">
      <c r="B20" s="157"/>
      <c r="C20" s="12"/>
      <c r="D20" s="172"/>
      <c r="E20" s="248"/>
      <c r="F20" s="153"/>
      <c r="G20" s="154"/>
      <c r="H20" s="13" t="str">
        <f t="shared" si="7"/>
        <v/>
      </c>
      <c r="I20" s="23"/>
      <c r="J20" s="286"/>
      <c r="K20" s="160" t="str">
        <f t="shared" si="8"/>
        <v/>
      </c>
      <c r="N20" s="66"/>
      <c r="O20" s="13" t="str">
        <f t="shared" si="4"/>
        <v/>
      </c>
      <c r="P20" s="23"/>
      <c r="Q20" s="286"/>
      <c r="R20" s="25" t="str">
        <f t="shared" si="1"/>
        <v/>
      </c>
      <c r="S20" s="267"/>
    </row>
    <row r="21" spans="1:21" ht="12" customHeight="1" outlineLevel="1" x14ac:dyDescent="0.25">
      <c r="B21" s="157"/>
      <c r="C21" s="12"/>
      <c r="D21" s="172"/>
      <c r="E21" s="248"/>
      <c r="F21" s="153"/>
      <c r="G21" s="154"/>
      <c r="H21" s="13" t="str">
        <f t="shared" si="7"/>
        <v/>
      </c>
      <c r="I21" s="23"/>
      <c r="J21" s="286"/>
      <c r="K21" s="160" t="str">
        <f t="shared" si="8"/>
        <v/>
      </c>
      <c r="N21" s="66"/>
      <c r="O21" s="13" t="str">
        <f t="shared" si="4"/>
        <v/>
      </c>
      <c r="P21" s="23"/>
      <c r="Q21" s="286"/>
      <c r="R21" s="25" t="str">
        <f t="shared" si="1"/>
        <v/>
      </c>
      <c r="S21" s="267"/>
    </row>
    <row r="22" spans="1:21" ht="12" customHeight="1" outlineLevel="1" x14ac:dyDescent="0.25">
      <c r="B22" s="157"/>
      <c r="C22" s="12"/>
      <c r="D22" s="172"/>
      <c r="E22" s="248"/>
      <c r="F22" s="153"/>
      <c r="G22" s="154"/>
      <c r="H22" s="13" t="str">
        <f t="shared" si="7"/>
        <v/>
      </c>
      <c r="I22" s="23"/>
      <c r="J22" s="286"/>
      <c r="K22" s="160" t="str">
        <f t="shared" si="8"/>
        <v/>
      </c>
      <c r="N22" s="66"/>
      <c r="O22" s="13" t="str">
        <f t="shared" si="4"/>
        <v/>
      </c>
      <c r="P22" s="23"/>
      <c r="Q22" s="286"/>
      <c r="R22" s="25" t="str">
        <f t="shared" si="1"/>
        <v/>
      </c>
      <c r="S22" s="267"/>
    </row>
    <row r="23" spans="1:21" ht="12.75" customHeight="1" outlineLevel="1" x14ac:dyDescent="0.25">
      <c r="B23" s="131"/>
      <c r="C23" s="27"/>
      <c r="D23" s="119"/>
      <c r="E23" s="39"/>
      <c r="F23" s="53"/>
      <c r="G23" s="60"/>
      <c r="H23" s="13" t="str">
        <f>IF(C23="","",IF(C23="Entrée",#REF!+G23,IF(C23="Sortie",#REF!-G23)))</f>
        <v/>
      </c>
      <c r="I23" s="30"/>
      <c r="J23" s="287"/>
      <c r="K23" s="32" t="str">
        <f t="shared" si="0"/>
        <v/>
      </c>
      <c r="N23" s="60"/>
      <c r="O23" s="13" t="str">
        <f>IF(C23="","",IF(C23="Entrée",#REF!+N23,IF(C23="Sortie",#REF!-N23)))</f>
        <v/>
      </c>
      <c r="P23" s="30"/>
      <c r="Q23" s="289"/>
      <c r="R23" s="25" t="str">
        <f t="shared" si="1"/>
        <v/>
      </c>
      <c r="S23" s="267"/>
    </row>
    <row r="24" spans="1:21" ht="7.35" customHeight="1" x14ac:dyDescent="0.25">
      <c r="B24" s="120"/>
      <c r="C24" s="6"/>
      <c r="D24" s="157"/>
      <c r="E24" s="6"/>
      <c r="F24" s="6"/>
      <c r="G24" s="6"/>
      <c r="H24" s="6"/>
      <c r="I24" s="6"/>
      <c r="J24" s="6"/>
      <c r="K24" s="6"/>
      <c r="L24" s="6"/>
      <c r="N24" s="6"/>
      <c r="O24" s="6"/>
      <c r="P24" s="6"/>
      <c r="Q24" s="6"/>
      <c r="R24" s="6"/>
      <c r="S24" s="268"/>
      <c r="U24" s="173"/>
    </row>
    <row r="25" spans="1:21" ht="21" customHeight="1" x14ac:dyDescent="0.25">
      <c r="B25" s="120"/>
      <c r="C25" s="6"/>
      <c r="D25" s="120"/>
      <c r="E25" s="6"/>
      <c r="F25" s="70" t="s">
        <v>11</v>
      </c>
      <c r="G25" s="71">
        <f>SUMIF(C9:C23,"Entrée",G9:G23)</f>
        <v>0</v>
      </c>
      <c r="H25" s="6"/>
      <c r="I25" s="6"/>
      <c r="J25" s="6"/>
      <c r="K25" s="6"/>
      <c r="L25" s="6"/>
      <c r="O25" s="15"/>
      <c r="P25" s="61"/>
      <c r="Q25" s="70" t="s">
        <v>25</v>
      </c>
      <c r="R25" s="71">
        <f>SUMIF(C9:C23,"Entrée",N9:N23)</f>
        <v>0</v>
      </c>
      <c r="S25" s="268"/>
      <c r="U25" s="173"/>
    </row>
    <row r="26" spans="1:21" ht="21" customHeight="1" x14ac:dyDescent="0.25">
      <c r="B26" s="120"/>
      <c r="C26" s="6"/>
      <c r="E26" s="6"/>
      <c r="F26" s="70" t="s">
        <v>12</v>
      </c>
      <c r="G26" s="71">
        <f>SUMIF(C9:C23,"Sortie",G9:G23)</f>
        <v>770</v>
      </c>
      <c r="H26" s="6"/>
      <c r="I26" s="6"/>
      <c r="J26" s="6"/>
      <c r="K26" s="6"/>
      <c r="L26" s="6"/>
      <c r="O26" s="15"/>
      <c r="P26" s="61"/>
      <c r="Q26" s="70" t="s">
        <v>24</v>
      </c>
      <c r="R26" s="71">
        <f>SUMIF(C9:C23,"Sortie",N9:N23)</f>
        <v>70</v>
      </c>
      <c r="S26" s="268"/>
      <c r="U26" s="173"/>
    </row>
    <row r="27" spans="1:21" ht="9" customHeight="1" x14ac:dyDescent="0.25">
      <c r="B27" s="132"/>
      <c r="C27" s="6"/>
      <c r="E27" s="6"/>
      <c r="F27" s="67"/>
      <c r="G27" s="68"/>
      <c r="H27" s="6"/>
      <c r="I27" s="6"/>
      <c r="J27" s="6"/>
      <c r="K27" s="6"/>
      <c r="L27" s="6"/>
      <c r="O27" s="69"/>
      <c r="P27" s="69"/>
      <c r="Q27" s="67"/>
      <c r="R27" s="68"/>
      <c r="S27" s="6"/>
    </row>
    <row r="28" spans="1:21" ht="21" customHeight="1" thickBot="1" x14ac:dyDescent="0.3">
      <c r="A28" s="35"/>
      <c r="B28" s="133"/>
      <c r="C28" s="44"/>
      <c r="D28" s="121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1:21" ht="21" customHeight="1" x14ac:dyDescent="0.25">
      <c r="B29" s="120"/>
      <c r="C29" s="6"/>
      <c r="E29" s="6"/>
      <c r="F29" s="6"/>
      <c r="G29" s="6"/>
      <c r="H29" s="6"/>
      <c r="I29" s="6"/>
      <c r="J29" s="6"/>
      <c r="K29" s="6"/>
      <c r="L29" s="6"/>
      <c r="N29" s="6"/>
      <c r="O29" s="6"/>
      <c r="P29" s="6"/>
      <c r="Q29" s="6"/>
      <c r="R29" s="6"/>
      <c r="S29" s="6"/>
    </row>
    <row r="30" spans="1:21" ht="21" customHeight="1" x14ac:dyDescent="0.3">
      <c r="B30" s="240" t="s">
        <v>65</v>
      </c>
      <c r="C30" s="78"/>
      <c r="D30" s="122"/>
      <c r="E30" s="78"/>
      <c r="F30" s="78"/>
      <c r="G30" s="312" t="s">
        <v>16</v>
      </c>
      <c r="H30" s="313"/>
      <c r="I30" s="80"/>
      <c r="J30" s="314" t="s">
        <v>0</v>
      </c>
      <c r="K30" s="315"/>
      <c r="L30" s="79"/>
      <c r="M30" s="79"/>
      <c r="N30" s="312" t="s">
        <v>17</v>
      </c>
      <c r="O30" s="313"/>
      <c r="P30" s="80"/>
      <c r="Q30" s="314" t="s">
        <v>0</v>
      </c>
      <c r="R30" s="315"/>
      <c r="S30" s="269"/>
    </row>
    <row r="31" spans="1:21" ht="22.5" customHeight="1" x14ac:dyDescent="0.25">
      <c r="B31" s="46" t="s">
        <v>1</v>
      </c>
      <c r="C31" s="7" t="s">
        <v>7</v>
      </c>
      <c r="D31" s="47" t="s">
        <v>5</v>
      </c>
      <c r="E31" s="48" t="s">
        <v>14</v>
      </c>
      <c r="F31" s="7" t="s">
        <v>4</v>
      </c>
      <c r="G31" s="82" t="s">
        <v>2</v>
      </c>
      <c r="H31" s="50" t="s">
        <v>13</v>
      </c>
      <c r="I31" s="23"/>
      <c r="J31" s="81" t="s">
        <v>0</v>
      </c>
      <c r="K31" s="84" t="s">
        <v>3</v>
      </c>
      <c r="N31" s="83" t="s">
        <v>2</v>
      </c>
      <c r="O31" s="40" t="s">
        <v>13</v>
      </c>
      <c r="P31" s="23"/>
      <c r="Q31" s="81" t="s">
        <v>0</v>
      </c>
      <c r="R31" s="84" t="s">
        <v>3</v>
      </c>
      <c r="S31" s="94"/>
    </row>
    <row r="32" spans="1:21" ht="4.3499999999999996" customHeight="1" x14ac:dyDescent="0.25">
      <c r="J32" s="1"/>
      <c r="K32" s="1"/>
      <c r="Q32" s="1"/>
      <c r="R32" s="1"/>
      <c r="S32" s="94"/>
    </row>
    <row r="33" spans="2:20" ht="18.75" customHeight="1" x14ac:dyDescent="0.3">
      <c r="B33" s="174" t="s">
        <v>47</v>
      </c>
      <c r="C33" s="174"/>
      <c r="D33" s="174"/>
      <c r="E33" s="174"/>
      <c r="F33" s="175"/>
      <c r="G33" s="56"/>
      <c r="H33" s="4"/>
      <c r="I33" s="23"/>
      <c r="J33" s="4"/>
      <c r="K33" s="57"/>
      <c r="N33" s="56"/>
      <c r="O33" s="4"/>
      <c r="P33" s="23"/>
      <c r="Q33" s="4"/>
      <c r="R33" s="57"/>
      <c r="S33" s="94"/>
    </row>
    <row r="34" spans="2:20" ht="13.2" outlineLevel="1" x14ac:dyDescent="0.25">
      <c r="B34" s="179" t="s">
        <v>82</v>
      </c>
      <c r="C34" s="16"/>
      <c r="D34" s="123"/>
      <c r="E34" s="37"/>
      <c r="F34" s="42"/>
      <c r="G34" s="58"/>
      <c r="H34" s="18"/>
      <c r="I34" s="19"/>
      <c r="J34" s="283"/>
      <c r="K34" s="21" t="str">
        <f>IF(J34="","",J34-H34)</f>
        <v/>
      </c>
      <c r="N34" s="58"/>
      <c r="O34" s="18"/>
      <c r="P34" s="19"/>
      <c r="Q34" s="283"/>
      <c r="R34" s="21" t="str">
        <f>IF(Q34="","",Q34-O34)</f>
        <v/>
      </c>
      <c r="S34" s="94"/>
    </row>
    <row r="35" spans="2:20" ht="15.75" customHeight="1" outlineLevel="1" x14ac:dyDescent="0.25">
      <c r="B35" s="177">
        <v>46024</v>
      </c>
      <c r="C35" s="292"/>
      <c r="D35" s="293"/>
      <c r="E35" s="294" t="s">
        <v>46</v>
      </c>
      <c r="F35" s="295"/>
      <c r="G35" s="297"/>
      <c r="H35" s="13">
        <v>9759</v>
      </c>
      <c r="I35" s="23"/>
      <c r="J35" s="284">
        <v>9759</v>
      </c>
      <c r="K35" s="25">
        <f t="shared" ref="K35:K50" si="9">IF(J35="","",J35-H35)</f>
        <v>0</v>
      </c>
      <c r="N35" s="297"/>
      <c r="O35" s="13">
        <v>2111</v>
      </c>
      <c r="P35" s="23"/>
      <c r="Q35" s="284">
        <v>2111</v>
      </c>
      <c r="R35" s="25">
        <f>IF(Q35="","",Q35-O35)</f>
        <v>0</v>
      </c>
      <c r="S35" s="94"/>
    </row>
    <row r="36" spans="2:20" ht="15.75" customHeight="1" outlineLevel="1" x14ac:dyDescent="0.25">
      <c r="B36" s="177">
        <v>46025</v>
      </c>
      <c r="C36" s="292" t="s">
        <v>8</v>
      </c>
      <c r="D36" s="293"/>
      <c r="E36" s="294" t="s">
        <v>46</v>
      </c>
      <c r="F36" s="295"/>
      <c r="G36" s="297"/>
      <c r="H36" s="13">
        <f t="shared" ref="H36:H40" si="10">IF(C36="","",IF(C36="Entrée",H35+G36,IF(C36="Sortie",H35-G36)))</f>
        <v>9759</v>
      </c>
      <c r="I36" s="23"/>
      <c r="J36" s="284">
        <f>6119+95+2868+30+145+46+188+266+2</f>
        <v>9759</v>
      </c>
      <c r="K36" s="25">
        <f t="shared" si="9"/>
        <v>0</v>
      </c>
      <c r="N36" s="297"/>
      <c r="O36" s="13">
        <f t="shared" ref="O36:O42" si="11">IF(C36="","",IF(C36="Entrée",O35+N36,IF(C36="Sortie",O35-N36)))</f>
        <v>2111</v>
      </c>
      <c r="P36" s="23"/>
      <c r="Q36" s="284">
        <f>50+17+2+240+14+18+24+5+526+24+1191</f>
        <v>2111</v>
      </c>
      <c r="R36" s="25">
        <f t="shared" ref="R36:R39" si="12">IF(Q36="","",Q36-O36)</f>
        <v>0</v>
      </c>
      <c r="S36" s="94"/>
    </row>
    <row r="37" spans="2:20" ht="15.75" customHeight="1" outlineLevel="1" x14ac:dyDescent="0.25">
      <c r="B37" s="177">
        <v>46025</v>
      </c>
      <c r="C37" s="155" t="s">
        <v>9</v>
      </c>
      <c r="D37" s="243">
        <v>111</v>
      </c>
      <c r="E37" s="244" t="s">
        <v>86</v>
      </c>
      <c r="F37" s="155"/>
      <c r="G37" s="154">
        <v>266</v>
      </c>
      <c r="H37" s="13">
        <f t="shared" si="10"/>
        <v>9493</v>
      </c>
      <c r="I37" s="23"/>
      <c r="J37" s="284"/>
      <c r="K37" s="25" t="str">
        <f t="shared" si="9"/>
        <v/>
      </c>
      <c r="N37" s="59">
        <v>252</v>
      </c>
      <c r="O37" s="13">
        <f t="shared" si="11"/>
        <v>1859</v>
      </c>
      <c r="P37" s="23"/>
      <c r="Q37" s="284"/>
      <c r="R37" s="25" t="str">
        <f t="shared" si="12"/>
        <v/>
      </c>
      <c r="S37" s="94"/>
    </row>
    <row r="38" spans="2:20" ht="15.75" customHeight="1" outlineLevel="1" x14ac:dyDescent="0.25">
      <c r="B38" s="177">
        <v>46026</v>
      </c>
      <c r="C38" s="292" t="s">
        <v>8</v>
      </c>
      <c r="D38" s="293"/>
      <c r="E38" s="294" t="s">
        <v>46</v>
      </c>
      <c r="F38" s="295"/>
      <c r="G38" s="297"/>
      <c r="H38" s="13">
        <f t="shared" si="10"/>
        <v>9493</v>
      </c>
      <c r="I38" s="23"/>
      <c r="J38" s="284">
        <v>9493</v>
      </c>
      <c r="K38" s="25">
        <f t="shared" si="9"/>
        <v>0</v>
      </c>
      <c r="N38" s="297"/>
      <c r="O38" s="13">
        <f t="shared" si="11"/>
        <v>1859</v>
      </c>
      <c r="P38" s="23"/>
      <c r="Q38" s="284">
        <v>1859</v>
      </c>
      <c r="R38" s="25">
        <f t="shared" si="12"/>
        <v>0</v>
      </c>
      <c r="S38" s="94"/>
    </row>
    <row r="39" spans="2:20" ht="15.75" customHeight="1" outlineLevel="1" x14ac:dyDescent="0.25">
      <c r="B39" s="177">
        <v>46027</v>
      </c>
      <c r="C39" s="292" t="s">
        <v>8</v>
      </c>
      <c r="D39" s="293"/>
      <c r="E39" s="294" t="s">
        <v>46</v>
      </c>
      <c r="F39" s="295"/>
      <c r="G39" s="297"/>
      <c r="H39" s="13">
        <f t="shared" si="10"/>
        <v>9493</v>
      </c>
      <c r="I39" s="23"/>
      <c r="J39" s="284">
        <f>9194+151+99+21+26+2</f>
        <v>9493</v>
      </c>
      <c r="K39" s="25">
        <f t="shared" si="9"/>
        <v>0</v>
      </c>
      <c r="N39" s="297"/>
      <c r="O39" s="13">
        <f t="shared" si="11"/>
        <v>1859</v>
      </c>
      <c r="P39" s="23"/>
      <c r="Q39" s="284">
        <f>128+1731</f>
        <v>1859</v>
      </c>
      <c r="R39" s="25">
        <f t="shared" si="12"/>
        <v>0</v>
      </c>
      <c r="S39" s="94"/>
    </row>
    <row r="40" spans="2:20" ht="13.5" customHeight="1" outlineLevel="1" x14ac:dyDescent="0.25">
      <c r="B40" s="129"/>
      <c r="C40" s="12"/>
      <c r="D40" s="246"/>
      <c r="E40" s="64"/>
      <c r="F40" s="245"/>
      <c r="G40" s="66"/>
      <c r="H40" s="13" t="str">
        <f t="shared" si="10"/>
        <v/>
      </c>
      <c r="I40" s="23"/>
      <c r="J40" s="284"/>
      <c r="K40" s="25" t="str">
        <f t="shared" si="9"/>
        <v/>
      </c>
      <c r="N40" s="59"/>
      <c r="O40" s="13" t="str">
        <f>IF(C40="","",IF(C40="Entrée",#REF!+N40,IF(C40="Sortie",#REF!-N40)))</f>
        <v/>
      </c>
      <c r="P40" s="23"/>
      <c r="Q40" s="284"/>
      <c r="R40" s="25" t="str">
        <f t="shared" ref="R40:R49" si="13">IF(Q40="","",Q40-O40)</f>
        <v/>
      </c>
      <c r="S40" s="94"/>
    </row>
    <row r="41" spans="2:20" ht="12.75" customHeight="1" outlineLevel="1" x14ac:dyDescent="0.25">
      <c r="B41" s="129"/>
      <c r="C41" s="12"/>
      <c r="D41" s="243"/>
      <c r="E41" s="244"/>
      <c r="F41" s="245"/>
      <c r="G41" s="66"/>
      <c r="H41" s="13" t="str">
        <f t="shared" ref="H41:H49" si="14">IF(C41="","",IF(C41="Entrée",H40+G41,IF(C41="Sortie",H40-G41)))</f>
        <v/>
      </c>
      <c r="I41" s="23"/>
      <c r="J41" s="284"/>
      <c r="K41" s="25" t="str">
        <f t="shared" si="9"/>
        <v/>
      </c>
      <c r="N41" s="59"/>
      <c r="O41" s="13" t="str">
        <f t="shared" si="11"/>
        <v/>
      </c>
      <c r="P41" s="23"/>
      <c r="Q41" s="284"/>
      <c r="R41" s="25" t="str">
        <f t="shared" si="13"/>
        <v/>
      </c>
      <c r="S41" s="94"/>
    </row>
    <row r="42" spans="2:20" ht="12.75" customHeight="1" outlineLevel="1" x14ac:dyDescent="0.25">
      <c r="B42" s="129"/>
      <c r="C42" s="12"/>
      <c r="D42" s="243"/>
      <c r="E42" s="244"/>
      <c r="F42" s="245"/>
      <c r="G42" s="66"/>
      <c r="H42" s="13" t="str">
        <f t="shared" si="14"/>
        <v/>
      </c>
      <c r="I42" s="23"/>
      <c r="J42" s="284"/>
      <c r="K42" s="25" t="str">
        <f t="shared" si="9"/>
        <v/>
      </c>
      <c r="N42" s="59"/>
      <c r="O42" s="13" t="str">
        <f t="shared" si="11"/>
        <v/>
      </c>
      <c r="P42" s="23"/>
      <c r="Q42" s="284"/>
      <c r="R42" s="25" t="str">
        <f t="shared" si="13"/>
        <v/>
      </c>
      <c r="S42" s="94"/>
    </row>
    <row r="43" spans="2:20" ht="12.75" customHeight="1" outlineLevel="1" x14ac:dyDescent="0.25">
      <c r="B43" s="129"/>
      <c r="C43" s="12"/>
      <c r="D43" s="243"/>
      <c r="E43" s="244"/>
      <c r="F43" s="245"/>
      <c r="G43" s="66"/>
      <c r="H43" s="13" t="str">
        <f t="shared" si="14"/>
        <v/>
      </c>
      <c r="I43" s="23"/>
      <c r="J43" s="284"/>
      <c r="K43" s="25" t="str">
        <f t="shared" si="9"/>
        <v/>
      </c>
      <c r="N43" s="59"/>
      <c r="O43" s="13" t="str">
        <f t="shared" ref="O43:O44" si="15">IF(C43="","",IF(C43="Entrée",O42+N43,IF(C43="Sortie",O42-N43)))</f>
        <v/>
      </c>
      <c r="P43" s="23"/>
      <c r="Q43" s="284"/>
      <c r="R43" s="25" t="str">
        <f t="shared" si="13"/>
        <v/>
      </c>
      <c r="S43" s="94"/>
      <c r="T43" s="156"/>
    </row>
    <row r="44" spans="2:20" ht="12.75" customHeight="1" outlineLevel="1" x14ac:dyDescent="0.25">
      <c r="B44" s="129"/>
      <c r="C44" s="12"/>
      <c r="D44" s="243"/>
      <c r="E44" s="244"/>
      <c r="F44" s="245"/>
      <c r="G44" s="66"/>
      <c r="H44" s="13" t="str">
        <f t="shared" si="14"/>
        <v/>
      </c>
      <c r="I44" s="23"/>
      <c r="J44" s="284"/>
      <c r="K44" s="25" t="str">
        <f t="shared" si="9"/>
        <v/>
      </c>
      <c r="N44" s="59"/>
      <c r="O44" s="13" t="str">
        <f t="shared" si="15"/>
        <v/>
      </c>
      <c r="P44" s="23"/>
      <c r="Q44" s="284"/>
      <c r="R44" s="25" t="str">
        <f t="shared" si="13"/>
        <v/>
      </c>
      <c r="S44" s="94"/>
    </row>
    <row r="45" spans="2:20" ht="15.6" customHeight="1" outlineLevel="1" x14ac:dyDescent="0.25">
      <c r="B45" s="144"/>
      <c r="C45" s="278"/>
      <c r="D45" s="158"/>
      <c r="E45" s="152"/>
      <c r="F45" s="279"/>
      <c r="G45" s="154"/>
      <c r="H45" s="13" t="str">
        <f t="shared" si="14"/>
        <v/>
      </c>
      <c r="I45" s="23"/>
      <c r="J45" s="284"/>
      <c r="K45" s="25" t="str">
        <f t="shared" si="9"/>
        <v/>
      </c>
      <c r="N45" s="154"/>
      <c r="O45" s="13"/>
      <c r="P45" s="23"/>
      <c r="Q45" s="284"/>
      <c r="R45" s="25" t="str">
        <f t="shared" si="13"/>
        <v/>
      </c>
      <c r="S45" s="94"/>
    </row>
    <row r="46" spans="2:20" ht="15.6" customHeight="1" outlineLevel="1" x14ac:dyDescent="0.25">
      <c r="B46" s="144"/>
      <c r="C46" s="278"/>
      <c r="D46" s="158"/>
      <c r="E46" s="152"/>
      <c r="F46" s="279"/>
      <c r="G46" s="154"/>
      <c r="H46" s="13" t="str">
        <f t="shared" si="14"/>
        <v/>
      </c>
      <c r="I46" s="23"/>
      <c r="J46" s="284"/>
      <c r="K46" s="25" t="str">
        <f t="shared" si="9"/>
        <v/>
      </c>
      <c r="N46" s="154"/>
      <c r="O46" s="13"/>
      <c r="P46" s="23"/>
      <c r="Q46" s="284"/>
      <c r="R46" s="25" t="str">
        <f t="shared" si="13"/>
        <v/>
      </c>
      <c r="S46" s="94"/>
    </row>
    <row r="47" spans="2:20" ht="15.6" customHeight="1" outlineLevel="1" x14ac:dyDescent="0.25">
      <c r="B47" s="144"/>
      <c r="C47" s="278"/>
      <c r="D47" s="158"/>
      <c r="E47" s="152"/>
      <c r="F47" s="279"/>
      <c r="G47" s="154"/>
      <c r="H47" s="13" t="str">
        <f t="shared" si="14"/>
        <v/>
      </c>
      <c r="I47" s="23"/>
      <c r="J47" s="284"/>
      <c r="K47" s="25" t="str">
        <f t="shared" si="9"/>
        <v/>
      </c>
      <c r="N47" s="154"/>
      <c r="O47" s="13"/>
      <c r="P47" s="23"/>
      <c r="Q47" s="284"/>
      <c r="R47" s="25" t="str">
        <f t="shared" si="13"/>
        <v/>
      </c>
      <c r="S47" s="94"/>
    </row>
    <row r="48" spans="2:20" ht="16.350000000000001" customHeight="1" outlineLevel="1" x14ac:dyDescent="0.25">
      <c r="B48" s="144"/>
      <c r="C48" s="278"/>
      <c r="D48" s="158"/>
      <c r="E48" s="152"/>
      <c r="F48" s="279"/>
      <c r="G48" s="154"/>
      <c r="H48" s="13" t="str">
        <f t="shared" si="14"/>
        <v/>
      </c>
      <c r="I48" s="23"/>
      <c r="J48" s="284"/>
      <c r="K48" s="25" t="str">
        <f t="shared" si="9"/>
        <v/>
      </c>
      <c r="N48" s="154"/>
      <c r="O48" s="13"/>
      <c r="P48" s="23"/>
      <c r="Q48" s="284"/>
      <c r="R48" s="25" t="str">
        <f t="shared" si="13"/>
        <v/>
      </c>
      <c r="S48" s="94"/>
    </row>
    <row r="49" spans="2:19" ht="12.6" customHeight="1" outlineLevel="1" x14ac:dyDescent="0.25">
      <c r="B49" s="144"/>
      <c r="C49" s="278"/>
      <c r="D49" s="158"/>
      <c r="E49" s="152"/>
      <c r="F49" s="279"/>
      <c r="G49" s="154"/>
      <c r="H49" s="13" t="str">
        <f t="shared" si="14"/>
        <v/>
      </c>
      <c r="I49" s="23"/>
      <c r="J49" s="284"/>
      <c r="K49" s="25" t="str">
        <f t="shared" si="9"/>
        <v/>
      </c>
      <c r="N49" s="154"/>
      <c r="O49" s="13" t="str">
        <f>IF(C49="","",IF(C49="Entrée",#REF!+N49,IF(C49="Sortie",#REF!-N49)))</f>
        <v/>
      </c>
      <c r="P49" s="23"/>
      <c r="Q49" s="284"/>
      <c r="R49" s="25" t="str">
        <f t="shared" si="13"/>
        <v/>
      </c>
      <c r="S49" s="94"/>
    </row>
    <row r="50" spans="2:19" ht="12.75" customHeight="1" outlineLevel="1" x14ac:dyDescent="0.25">
      <c r="B50" s="131"/>
      <c r="C50" s="27"/>
      <c r="D50" s="124"/>
      <c r="E50" s="39"/>
      <c r="F50" s="43"/>
      <c r="G50" s="60"/>
      <c r="H50" s="60"/>
      <c r="I50" s="60"/>
      <c r="J50" s="285"/>
      <c r="K50" s="32" t="str">
        <f t="shared" si="9"/>
        <v/>
      </c>
      <c r="N50" s="60"/>
      <c r="O50" s="29"/>
      <c r="P50" s="30"/>
      <c r="Q50" s="285"/>
      <c r="R50" s="32" t="str">
        <f t="shared" ref="R50" si="16">IF(Q50="","",Q50-O50)</f>
        <v/>
      </c>
      <c r="S50" s="94"/>
    </row>
    <row r="51" spans="2:19" ht="6.6" customHeight="1" x14ac:dyDescent="0.25">
      <c r="B51" s="120"/>
      <c r="C51" s="6"/>
      <c r="D51" s="120"/>
      <c r="E51" s="6"/>
      <c r="F51" s="6"/>
      <c r="G51" s="6"/>
      <c r="H51" s="6"/>
      <c r="I51" s="6"/>
      <c r="J51" s="6"/>
      <c r="K51" s="6"/>
      <c r="N51" s="6"/>
      <c r="O51" s="6"/>
      <c r="P51" s="6"/>
      <c r="Q51" s="6"/>
      <c r="R51" s="6"/>
      <c r="S51" s="94"/>
    </row>
    <row r="52" spans="2:19" ht="26.1" customHeight="1" x14ac:dyDescent="0.25">
      <c r="B52" s="120"/>
      <c r="C52" s="6"/>
      <c r="D52" s="120"/>
      <c r="E52" s="6"/>
      <c r="F52" s="62" t="s">
        <v>18</v>
      </c>
      <c r="G52" s="33">
        <f>SUMIF(C34:C50,"Entrée",G34:G50)</f>
        <v>0</v>
      </c>
      <c r="H52" s="6"/>
      <c r="I52" s="6"/>
      <c r="J52" s="6"/>
      <c r="K52" s="6"/>
      <c r="L52" s="6"/>
      <c r="O52" s="15"/>
      <c r="P52" s="61"/>
      <c r="Q52" s="34" t="s">
        <v>20</v>
      </c>
      <c r="R52" s="33">
        <f>SUMIF(C34:C50,"Entrée",N34:N50)</f>
        <v>0</v>
      </c>
      <c r="S52" s="269"/>
    </row>
    <row r="53" spans="2:19" ht="26.1" customHeight="1" x14ac:dyDescent="0.25">
      <c r="B53" s="120"/>
      <c r="C53" s="6"/>
      <c r="E53" s="6"/>
      <c r="F53" s="62" t="s">
        <v>19</v>
      </c>
      <c r="G53" s="33">
        <f>SUMIF(C34:C50,"Sortie",G34:G50)</f>
        <v>266</v>
      </c>
      <c r="H53" s="6"/>
      <c r="I53" s="6"/>
      <c r="J53" s="6"/>
      <c r="K53" s="6"/>
      <c r="L53" s="6"/>
      <c r="O53" s="15"/>
      <c r="P53" s="61"/>
      <c r="Q53" s="34" t="s">
        <v>21</v>
      </c>
      <c r="R53" s="33">
        <f>SUMIF(C34:C50,"Sortie",N34:N50)</f>
        <v>252</v>
      </c>
      <c r="S53" s="269"/>
    </row>
    <row r="54" spans="2:19" ht="12.75" customHeight="1" x14ac:dyDescent="0.25">
      <c r="B54" s="132"/>
      <c r="J54" s="1"/>
      <c r="K54" s="1"/>
      <c r="Q54" s="1"/>
      <c r="R54" s="1"/>
    </row>
    <row r="55" spans="2:19" ht="12.75" customHeight="1" x14ac:dyDescent="0.25">
      <c r="J55" s="1"/>
      <c r="K55" s="1"/>
      <c r="Q55" s="1"/>
      <c r="R55" s="1"/>
    </row>
    <row r="56" spans="2:19" ht="12.75" customHeight="1" x14ac:dyDescent="0.25">
      <c r="J56" s="1"/>
      <c r="K56" s="1"/>
      <c r="Q56" s="1"/>
      <c r="R56" s="1"/>
    </row>
    <row r="57" spans="2:19" ht="12.75" customHeight="1" x14ac:dyDescent="0.25">
      <c r="J57" s="1"/>
      <c r="K57" s="1"/>
      <c r="Q57" s="1"/>
      <c r="R57" s="1"/>
    </row>
    <row r="58" spans="2:19" ht="12.75" customHeight="1" x14ac:dyDescent="0.25">
      <c r="J58" s="1"/>
      <c r="K58" s="1"/>
      <c r="Q58" s="1"/>
      <c r="R58" s="1"/>
    </row>
    <row r="59" spans="2:19" ht="12.75" customHeight="1" x14ac:dyDescent="0.25">
      <c r="J59" s="1"/>
      <c r="K59" s="1"/>
      <c r="Q59" s="1"/>
      <c r="R59" s="1"/>
    </row>
    <row r="60" spans="2:19" ht="12.75" customHeight="1" x14ac:dyDescent="0.25">
      <c r="J60" s="1"/>
      <c r="K60" s="1"/>
      <c r="Q60" s="1"/>
      <c r="R60" s="1"/>
    </row>
    <row r="61" spans="2:19" ht="12.75" customHeight="1" x14ac:dyDescent="0.25">
      <c r="J61" s="1"/>
      <c r="K61" s="1"/>
      <c r="Q61" s="1"/>
      <c r="R61" s="1"/>
    </row>
    <row r="62" spans="2:19" ht="12.75" customHeight="1" x14ac:dyDescent="0.25">
      <c r="J62" s="1"/>
      <c r="K62" s="1"/>
      <c r="Q62" s="1"/>
      <c r="R62" s="1"/>
    </row>
    <row r="63" spans="2:19" ht="12.75" customHeight="1" x14ac:dyDescent="0.25">
      <c r="J63" s="1"/>
      <c r="K63" s="1"/>
      <c r="Q63" s="1"/>
      <c r="R63" s="1"/>
    </row>
    <row r="64" spans="2:19" ht="12.75" customHeight="1" x14ac:dyDescent="0.25">
      <c r="B64"/>
      <c r="C64"/>
      <c r="D64"/>
      <c r="J64" s="1"/>
      <c r="K64" s="1"/>
      <c r="Q64" s="1"/>
      <c r="R64" s="1"/>
    </row>
    <row r="65" spans="2:18" ht="12.75" customHeight="1" x14ac:dyDescent="0.25">
      <c r="B65"/>
      <c r="C65"/>
      <c r="D65"/>
      <c r="J65" s="1"/>
      <c r="K65" s="1"/>
      <c r="Q65" s="1"/>
      <c r="R65" s="1"/>
    </row>
    <row r="66" spans="2:18" ht="12.75" customHeight="1" x14ac:dyDescent="0.25">
      <c r="B66"/>
      <c r="C66"/>
      <c r="D66"/>
      <c r="J66" s="1"/>
      <c r="K66" s="1"/>
      <c r="Q66" s="1"/>
      <c r="R66" s="1"/>
    </row>
    <row r="67" spans="2:18" ht="12.75" customHeight="1" x14ac:dyDescent="0.25">
      <c r="B67"/>
      <c r="C67"/>
      <c r="D67"/>
      <c r="J67" s="1"/>
      <c r="K67" s="1"/>
      <c r="Q67" s="1"/>
      <c r="R67" s="1"/>
    </row>
    <row r="68" spans="2:18" ht="12.75" customHeight="1" x14ac:dyDescent="0.25">
      <c r="B68"/>
      <c r="C68"/>
      <c r="D68"/>
      <c r="J68" s="1"/>
      <c r="K68" s="1"/>
      <c r="Q68" s="1"/>
      <c r="R68" s="1"/>
    </row>
    <row r="69" spans="2:18" ht="12.75" customHeight="1" x14ac:dyDescent="0.25">
      <c r="B69"/>
      <c r="C69"/>
      <c r="D69"/>
      <c r="J69" s="1"/>
      <c r="K69" s="1"/>
      <c r="Q69" s="1"/>
      <c r="R69" s="1"/>
    </row>
    <row r="70" spans="2:18" ht="12.75" customHeight="1" x14ac:dyDescent="0.25">
      <c r="B70"/>
      <c r="C70"/>
      <c r="D70"/>
      <c r="J70" s="1"/>
      <c r="K70" s="1"/>
      <c r="Q70" s="1"/>
      <c r="R70" s="1"/>
    </row>
    <row r="71" spans="2:18" ht="12.75" customHeight="1" x14ac:dyDescent="0.25">
      <c r="B71"/>
      <c r="C71"/>
      <c r="D71"/>
      <c r="J71" s="1"/>
      <c r="K71" s="1"/>
      <c r="Q71" s="1"/>
      <c r="R71" s="1"/>
    </row>
    <row r="72" spans="2:18" ht="12.75" customHeight="1" x14ac:dyDescent="0.25">
      <c r="B72"/>
      <c r="C72"/>
      <c r="D72"/>
      <c r="J72" s="1"/>
      <c r="K72" s="1"/>
      <c r="Q72" s="1"/>
      <c r="R72" s="1"/>
    </row>
    <row r="73" spans="2:18" ht="12.75" customHeight="1" x14ac:dyDescent="0.25">
      <c r="B73"/>
      <c r="C73"/>
      <c r="D73"/>
      <c r="J73" s="1"/>
      <c r="K73" s="1"/>
      <c r="Q73" s="1"/>
      <c r="R73" s="1"/>
    </row>
    <row r="74" spans="2:18" ht="12.75" customHeight="1" x14ac:dyDescent="0.25">
      <c r="B74"/>
      <c r="C74"/>
      <c r="D74"/>
      <c r="J74" s="1"/>
      <c r="K74" s="1"/>
      <c r="Q74" s="1"/>
      <c r="R74" s="1"/>
    </row>
    <row r="75" spans="2:18" ht="12.75" customHeight="1" x14ac:dyDescent="0.25">
      <c r="B75"/>
      <c r="C75"/>
      <c r="D75"/>
      <c r="J75" s="1"/>
      <c r="K75" s="1"/>
      <c r="Q75" s="1"/>
      <c r="R75" s="1"/>
    </row>
    <row r="76" spans="2:18" ht="12.75" customHeight="1" x14ac:dyDescent="0.25">
      <c r="B76"/>
      <c r="C76"/>
      <c r="D76"/>
      <c r="J76" s="1"/>
      <c r="K76" s="1"/>
      <c r="Q76" s="1"/>
      <c r="R76" s="1"/>
    </row>
    <row r="77" spans="2:18" ht="12.75" customHeight="1" x14ac:dyDescent="0.25">
      <c r="B77"/>
      <c r="C77"/>
      <c r="D77"/>
      <c r="J77" s="1"/>
      <c r="K77" s="1"/>
      <c r="Q77" s="1"/>
      <c r="R77" s="1"/>
    </row>
    <row r="78" spans="2:18" ht="12.75" customHeight="1" x14ac:dyDescent="0.25">
      <c r="B78"/>
      <c r="C78"/>
      <c r="D78"/>
      <c r="J78" s="1"/>
      <c r="K78" s="1"/>
      <c r="Q78" s="1"/>
      <c r="R78" s="1"/>
    </row>
    <row r="79" spans="2:18" ht="12.75" customHeight="1" x14ac:dyDescent="0.25">
      <c r="B79"/>
      <c r="C79"/>
      <c r="D79"/>
      <c r="J79" s="1"/>
      <c r="K79" s="1"/>
      <c r="Q79" s="1"/>
      <c r="R79" s="1"/>
    </row>
    <row r="80" spans="2:18" ht="12.75" customHeight="1" x14ac:dyDescent="0.25">
      <c r="B80"/>
      <c r="C80"/>
      <c r="D80"/>
      <c r="J80" s="1"/>
      <c r="K80" s="1"/>
      <c r="Q80" s="1"/>
      <c r="R80" s="1"/>
    </row>
    <row r="81" spans="2:18" ht="12.75" customHeight="1" x14ac:dyDescent="0.25">
      <c r="B81"/>
      <c r="C81"/>
      <c r="D81"/>
      <c r="J81" s="1"/>
      <c r="K81" s="1"/>
      <c r="Q81" s="1"/>
      <c r="R81" s="1"/>
    </row>
    <row r="82" spans="2:18" ht="12.75" customHeight="1" x14ac:dyDescent="0.25">
      <c r="B82"/>
      <c r="C82"/>
      <c r="D82"/>
      <c r="J82" s="1"/>
      <c r="K82" s="1"/>
      <c r="Q82" s="1"/>
      <c r="R82" s="1"/>
    </row>
    <row r="83" spans="2:18" ht="12.75" customHeight="1" x14ac:dyDescent="0.25">
      <c r="B83"/>
      <c r="C83"/>
      <c r="D83"/>
      <c r="J83" s="1"/>
      <c r="K83" s="1"/>
      <c r="Q83" s="1"/>
      <c r="R83" s="1"/>
    </row>
    <row r="84" spans="2:18" ht="12.75" customHeight="1" x14ac:dyDescent="0.25">
      <c r="B84"/>
      <c r="C84"/>
      <c r="D84"/>
      <c r="J84" s="1"/>
      <c r="K84" s="1"/>
      <c r="Q84" s="1"/>
      <c r="R84" s="1"/>
    </row>
    <row r="85" spans="2:18" ht="12.75" customHeight="1" x14ac:dyDescent="0.25">
      <c r="B85"/>
      <c r="C85"/>
      <c r="D85"/>
      <c r="J85" s="1"/>
      <c r="K85" s="1"/>
      <c r="Q85" s="1"/>
      <c r="R85" s="1"/>
    </row>
    <row r="86" spans="2:18" ht="12.75" customHeight="1" x14ac:dyDescent="0.25">
      <c r="B86"/>
      <c r="C86"/>
      <c r="D86"/>
      <c r="J86" s="1"/>
      <c r="K86" s="1"/>
      <c r="Q86" s="1"/>
      <c r="R86" s="1"/>
    </row>
    <row r="87" spans="2:18" ht="12.75" customHeight="1" x14ac:dyDescent="0.25">
      <c r="B87"/>
      <c r="C87"/>
      <c r="D87"/>
      <c r="J87" s="1"/>
      <c r="K87" s="1"/>
      <c r="Q87" s="1"/>
      <c r="R87" s="1"/>
    </row>
    <row r="88" spans="2:18" ht="12.75" customHeight="1" x14ac:dyDescent="0.25">
      <c r="B88"/>
      <c r="C88"/>
      <c r="D88"/>
      <c r="J88" s="1"/>
      <c r="K88" s="1"/>
      <c r="Q88" s="1"/>
      <c r="R88" s="1"/>
    </row>
    <row r="89" spans="2:18" ht="12.75" customHeight="1" x14ac:dyDescent="0.25">
      <c r="B89"/>
      <c r="C89"/>
      <c r="D89"/>
      <c r="J89" s="1"/>
      <c r="K89" s="1"/>
      <c r="Q89" s="1"/>
      <c r="R89" s="1"/>
    </row>
    <row r="90" spans="2:18" ht="12.75" customHeight="1" x14ac:dyDescent="0.25">
      <c r="B90"/>
      <c r="C90"/>
      <c r="D90"/>
      <c r="J90" s="1"/>
      <c r="K90" s="1"/>
      <c r="Q90" s="1"/>
      <c r="R90" s="1"/>
    </row>
    <row r="91" spans="2:18" ht="12.75" customHeight="1" x14ac:dyDescent="0.25">
      <c r="B91"/>
      <c r="C91"/>
      <c r="D91"/>
      <c r="J91" s="1"/>
      <c r="K91" s="1"/>
      <c r="Q91" s="1"/>
      <c r="R91" s="1"/>
    </row>
    <row r="92" spans="2:18" ht="12.75" customHeight="1" x14ac:dyDescent="0.25">
      <c r="B92"/>
      <c r="C92"/>
      <c r="D92"/>
      <c r="J92" s="1"/>
      <c r="K92" s="1"/>
      <c r="Q92" s="1"/>
      <c r="R92" s="1"/>
    </row>
    <row r="93" spans="2:18" ht="12.75" customHeight="1" x14ac:dyDescent="0.25">
      <c r="B93"/>
      <c r="C93"/>
      <c r="D93"/>
      <c r="J93" s="1"/>
      <c r="K93" s="1"/>
      <c r="Q93" s="1"/>
      <c r="R93" s="1"/>
    </row>
    <row r="94" spans="2:18" ht="12.75" customHeight="1" x14ac:dyDescent="0.25">
      <c r="B94"/>
      <c r="C94"/>
      <c r="D94"/>
      <c r="J94" s="1"/>
      <c r="K94" s="1"/>
      <c r="Q94" s="1"/>
      <c r="R94" s="1"/>
    </row>
    <row r="95" spans="2:18" ht="12.75" customHeight="1" x14ac:dyDescent="0.25">
      <c r="B95"/>
      <c r="C95"/>
      <c r="D95"/>
      <c r="J95" s="1"/>
      <c r="K95" s="1"/>
      <c r="Q95" s="1"/>
      <c r="R95" s="1"/>
    </row>
    <row r="96" spans="2:18" ht="12.75" customHeight="1" x14ac:dyDescent="0.25">
      <c r="B96"/>
      <c r="C96"/>
      <c r="D96"/>
      <c r="J96" s="1"/>
      <c r="K96" s="1"/>
      <c r="Q96" s="1"/>
      <c r="R96" s="1"/>
    </row>
    <row r="97" spans="2:18" ht="12.75" customHeight="1" x14ac:dyDescent="0.25">
      <c r="B97"/>
      <c r="C97"/>
      <c r="D97"/>
      <c r="J97" s="1"/>
      <c r="K97" s="1"/>
      <c r="Q97" s="1"/>
      <c r="R97" s="1"/>
    </row>
    <row r="98" spans="2:18" ht="12.75" customHeight="1" x14ac:dyDescent="0.25">
      <c r="B98"/>
      <c r="C98"/>
      <c r="D98"/>
      <c r="J98" s="1"/>
      <c r="K98" s="1"/>
      <c r="Q98" s="1"/>
      <c r="R98" s="1"/>
    </row>
    <row r="99" spans="2:18" ht="12.75" customHeight="1" x14ac:dyDescent="0.25">
      <c r="B99"/>
      <c r="C99"/>
      <c r="D99"/>
      <c r="J99" s="1"/>
      <c r="K99" s="1"/>
      <c r="Q99" s="1"/>
      <c r="R99" s="1"/>
    </row>
    <row r="100" spans="2:18" ht="12.75" customHeight="1" x14ac:dyDescent="0.25">
      <c r="B100"/>
      <c r="C100"/>
      <c r="D100"/>
      <c r="J100" s="1"/>
      <c r="K100" s="1"/>
      <c r="Q100" s="1"/>
      <c r="R100" s="1"/>
    </row>
    <row r="101" spans="2:18" ht="12.75" customHeight="1" x14ac:dyDescent="0.25">
      <c r="B101"/>
      <c r="C101"/>
      <c r="D101"/>
      <c r="J101" s="1"/>
      <c r="K101" s="1"/>
      <c r="Q101" s="1"/>
      <c r="R101" s="1"/>
    </row>
    <row r="102" spans="2:18" ht="12.75" customHeight="1" x14ac:dyDescent="0.25">
      <c r="B102"/>
      <c r="C102"/>
      <c r="D102"/>
      <c r="J102" s="1"/>
      <c r="K102" s="1"/>
      <c r="Q102" s="1"/>
      <c r="R102" s="1"/>
    </row>
    <row r="103" spans="2:18" ht="12.75" customHeight="1" x14ac:dyDescent="0.25">
      <c r="B103"/>
      <c r="C103"/>
      <c r="D103"/>
      <c r="J103" s="1"/>
      <c r="K103" s="1"/>
      <c r="Q103" s="1"/>
      <c r="R103" s="1"/>
    </row>
    <row r="104" spans="2:18" ht="12.75" customHeight="1" x14ac:dyDescent="0.25">
      <c r="B104"/>
      <c r="C104"/>
      <c r="D104"/>
      <c r="J104" s="1"/>
      <c r="K104" s="1"/>
      <c r="Q104" s="1"/>
      <c r="R104" s="1"/>
    </row>
    <row r="105" spans="2:18" ht="12.75" customHeight="1" x14ac:dyDescent="0.25">
      <c r="B105"/>
      <c r="C105"/>
      <c r="D105"/>
      <c r="J105" s="1"/>
      <c r="K105" s="1"/>
      <c r="Q105" s="1"/>
      <c r="R105" s="1"/>
    </row>
    <row r="106" spans="2:18" ht="12.75" customHeight="1" x14ac:dyDescent="0.25">
      <c r="B106"/>
      <c r="C106"/>
      <c r="D106"/>
      <c r="J106" s="1"/>
      <c r="K106" s="1"/>
      <c r="Q106" s="1"/>
      <c r="R106" s="1"/>
    </row>
    <row r="107" spans="2:18" ht="12.75" customHeight="1" x14ac:dyDescent="0.25">
      <c r="B107"/>
      <c r="C107"/>
      <c r="D107"/>
      <c r="J107" s="1"/>
      <c r="K107" s="1"/>
      <c r="Q107" s="1"/>
      <c r="R107" s="1"/>
    </row>
    <row r="108" spans="2:18" ht="12.75" customHeight="1" x14ac:dyDescent="0.25">
      <c r="B108"/>
      <c r="C108"/>
      <c r="D108"/>
      <c r="J108" s="1"/>
      <c r="K108" s="1"/>
      <c r="Q108" s="1"/>
      <c r="R108" s="1"/>
    </row>
    <row r="109" spans="2:18" ht="12.75" customHeight="1" x14ac:dyDescent="0.25">
      <c r="B109"/>
      <c r="C109"/>
      <c r="D109"/>
      <c r="J109" s="1"/>
      <c r="K109" s="1"/>
      <c r="Q109" s="1"/>
      <c r="R109" s="1"/>
    </row>
    <row r="110" spans="2:18" ht="12.75" customHeight="1" x14ac:dyDescent="0.25">
      <c r="B110"/>
      <c r="C110"/>
      <c r="D110"/>
      <c r="J110" s="1"/>
      <c r="K110" s="1"/>
      <c r="Q110" s="1"/>
      <c r="R110" s="1"/>
    </row>
    <row r="111" spans="2:18" ht="12.75" customHeight="1" x14ac:dyDescent="0.25">
      <c r="B111"/>
      <c r="C111"/>
      <c r="D111"/>
      <c r="J111" s="1"/>
      <c r="K111" s="1"/>
      <c r="Q111" s="1"/>
      <c r="R111" s="1"/>
    </row>
    <row r="112" spans="2:18" ht="12.75" customHeight="1" x14ac:dyDescent="0.25">
      <c r="B112"/>
      <c r="C112"/>
      <c r="D112"/>
      <c r="J112" s="1"/>
      <c r="K112" s="1"/>
      <c r="Q112" s="1"/>
      <c r="R112" s="1"/>
    </row>
    <row r="113" spans="2:18" ht="12.75" customHeight="1" x14ac:dyDescent="0.25">
      <c r="B113"/>
      <c r="C113"/>
      <c r="D113"/>
      <c r="J113" s="1"/>
      <c r="K113" s="1"/>
      <c r="Q113" s="1"/>
      <c r="R113" s="1"/>
    </row>
    <row r="114" spans="2:18" ht="12.75" customHeight="1" x14ac:dyDescent="0.25">
      <c r="B114"/>
      <c r="C114"/>
      <c r="D114"/>
      <c r="J114" s="1"/>
      <c r="K114" s="1"/>
      <c r="Q114" s="1"/>
      <c r="R114" s="1"/>
    </row>
    <row r="115" spans="2:18" ht="12.75" customHeight="1" x14ac:dyDescent="0.25">
      <c r="B115"/>
      <c r="C115"/>
      <c r="D115"/>
      <c r="J115" s="1"/>
      <c r="K115" s="1"/>
      <c r="Q115" s="1"/>
      <c r="R115" s="1"/>
    </row>
    <row r="116" spans="2:18" ht="12.75" customHeight="1" x14ac:dyDescent="0.25">
      <c r="B116"/>
      <c r="C116"/>
      <c r="D116"/>
      <c r="J116" s="1"/>
      <c r="K116" s="1"/>
      <c r="Q116" s="1"/>
      <c r="R116" s="1"/>
    </row>
    <row r="117" spans="2:18" ht="12.75" customHeight="1" x14ac:dyDescent="0.25">
      <c r="B117"/>
      <c r="C117"/>
      <c r="D117"/>
      <c r="J117" s="1"/>
      <c r="K117" s="1"/>
      <c r="Q117" s="1"/>
      <c r="R117" s="1"/>
    </row>
    <row r="118" spans="2:18" ht="12.75" customHeight="1" x14ac:dyDescent="0.25">
      <c r="B118"/>
      <c r="C118"/>
      <c r="D118"/>
      <c r="J118" s="1"/>
      <c r="K118" s="1"/>
      <c r="Q118" s="1"/>
      <c r="R118" s="1"/>
    </row>
    <row r="119" spans="2:18" ht="12.75" customHeight="1" x14ac:dyDescent="0.25">
      <c r="B119"/>
      <c r="C119"/>
      <c r="D119"/>
      <c r="J119" s="1"/>
      <c r="K119" s="1"/>
      <c r="Q119" s="1"/>
      <c r="R119" s="1"/>
    </row>
    <row r="120" spans="2:18" ht="12.75" customHeight="1" x14ac:dyDescent="0.25">
      <c r="B120"/>
      <c r="C120"/>
      <c r="D120"/>
      <c r="J120" s="1"/>
      <c r="K120" s="1"/>
      <c r="Q120" s="1"/>
      <c r="R120" s="1"/>
    </row>
    <row r="121" spans="2:18" ht="12.75" customHeight="1" x14ac:dyDescent="0.25">
      <c r="B121"/>
      <c r="C121"/>
      <c r="D121"/>
      <c r="J121" s="1"/>
      <c r="K121" s="1"/>
      <c r="Q121" s="1"/>
      <c r="R121" s="1"/>
    </row>
    <row r="122" spans="2:18" ht="12.75" customHeight="1" x14ac:dyDescent="0.25">
      <c r="B122"/>
      <c r="C122"/>
      <c r="D122"/>
      <c r="J122" s="1"/>
      <c r="K122" s="1"/>
      <c r="Q122" s="1"/>
      <c r="R122" s="1"/>
    </row>
    <row r="123" spans="2:18" ht="12.75" customHeight="1" x14ac:dyDescent="0.25">
      <c r="B123"/>
      <c r="C123"/>
      <c r="D123"/>
      <c r="J123" s="1"/>
      <c r="K123" s="1"/>
      <c r="Q123" s="1"/>
      <c r="R123" s="1"/>
    </row>
    <row r="124" spans="2:18" ht="12.75" customHeight="1" x14ac:dyDescent="0.25">
      <c r="B124"/>
      <c r="C124"/>
      <c r="D124"/>
      <c r="J124" s="1"/>
      <c r="K124" s="1"/>
      <c r="Q124" s="1"/>
      <c r="R124" s="1"/>
    </row>
    <row r="125" spans="2:18" ht="12.75" customHeight="1" x14ac:dyDescent="0.25">
      <c r="B125"/>
      <c r="C125"/>
      <c r="D125"/>
      <c r="J125" s="1"/>
      <c r="K125" s="1"/>
      <c r="Q125" s="1"/>
      <c r="R125" s="1"/>
    </row>
    <row r="126" spans="2:18" ht="12.75" customHeight="1" x14ac:dyDescent="0.25">
      <c r="B126"/>
      <c r="C126"/>
      <c r="D126"/>
      <c r="J126" s="1"/>
      <c r="K126" s="1"/>
      <c r="Q126" s="1"/>
      <c r="R126" s="1"/>
    </row>
    <row r="127" spans="2:18" ht="12.75" customHeight="1" x14ac:dyDescent="0.25">
      <c r="B127"/>
      <c r="C127"/>
      <c r="D127"/>
      <c r="J127" s="1"/>
      <c r="K127" s="1"/>
      <c r="Q127" s="1"/>
      <c r="R127" s="1"/>
    </row>
    <row r="128" spans="2:18" ht="12.75" customHeight="1" x14ac:dyDescent="0.25">
      <c r="B128"/>
      <c r="C128"/>
      <c r="D128"/>
      <c r="J128" s="1"/>
      <c r="K128" s="1"/>
      <c r="Q128" s="1"/>
      <c r="R128" s="1"/>
    </row>
    <row r="129" spans="2:18" ht="12.75" customHeight="1" x14ac:dyDescent="0.25">
      <c r="B129"/>
      <c r="C129"/>
      <c r="D129"/>
      <c r="J129" s="1"/>
      <c r="K129" s="1"/>
      <c r="Q129" s="1"/>
      <c r="R129" s="1"/>
    </row>
    <row r="130" spans="2:18" ht="12.75" customHeight="1" x14ac:dyDescent="0.25">
      <c r="B130"/>
      <c r="C130"/>
      <c r="D130"/>
      <c r="J130" s="1"/>
      <c r="K130" s="1"/>
      <c r="Q130" s="1"/>
      <c r="R130" s="1"/>
    </row>
    <row r="131" spans="2:18" ht="12.75" customHeight="1" x14ac:dyDescent="0.25">
      <c r="B131"/>
      <c r="C131"/>
      <c r="D131"/>
      <c r="J131" s="1"/>
      <c r="K131" s="1"/>
      <c r="Q131" s="1"/>
      <c r="R131" s="1"/>
    </row>
    <row r="132" spans="2:18" ht="12.75" customHeight="1" x14ac:dyDescent="0.25">
      <c r="B132"/>
      <c r="C132"/>
      <c r="D132"/>
      <c r="J132" s="1"/>
      <c r="K132" s="1"/>
      <c r="Q132" s="1"/>
      <c r="R132" s="1"/>
    </row>
    <row r="133" spans="2:18" ht="12.75" customHeight="1" x14ac:dyDescent="0.25">
      <c r="B133"/>
      <c r="C133"/>
      <c r="D133"/>
      <c r="J133" s="1"/>
      <c r="K133" s="1"/>
      <c r="Q133" s="1"/>
      <c r="R133" s="1"/>
    </row>
    <row r="134" spans="2:18" ht="12.75" customHeight="1" x14ac:dyDescent="0.25">
      <c r="B134"/>
      <c r="C134"/>
      <c r="D134"/>
      <c r="J134" s="1"/>
      <c r="K134" s="1"/>
      <c r="Q134" s="1"/>
      <c r="R134" s="1"/>
    </row>
    <row r="135" spans="2:18" ht="12.75" customHeight="1" x14ac:dyDescent="0.25">
      <c r="B135"/>
      <c r="C135"/>
      <c r="D135"/>
      <c r="J135" s="1"/>
      <c r="K135" s="1"/>
      <c r="Q135" s="1"/>
      <c r="R135" s="1"/>
    </row>
    <row r="136" spans="2:18" ht="12.75" customHeight="1" x14ac:dyDescent="0.25">
      <c r="B136"/>
      <c r="C136"/>
      <c r="D136"/>
      <c r="J136" s="1"/>
      <c r="K136" s="1"/>
      <c r="Q136" s="1"/>
      <c r="R136" s="1"/>
    </row>
    <row r="137" spans="2:18" ht="12.75" customHeight="1" x14ac:dyDescent="0.25">
      <c r="B137"/>
      <c r="C137"/>
      <c r="D137"/>
      <c r="J137" s="1"/>
      <c r="K137" s="1"/>
      <c r="Q137" s="1"/>
      <c r="R137" s="1"/>
    </row>
    <row r="138" spans="2:18" ht="12.75" customHeight="1" x14ac:dyDescent="0.25">
      <c r="B138"/>
      <c r="C138"/>
      <c r="D138"/>
      <c r="J138" s="1"/>
      <c r="K138" s="1"/>
      <c r="Q138" s="1"/>
      <c r="R138" s="1"/>
    </row>
    <row r="139" spans="2:18" ht="12.75" customHeight="1" x14ac:dyDescent="0.25">
      <c r="B139"/>
      <c r="C139"/>
      <c r="D139"/>
      <c r="J139" s="1"/>
      <c r="K139" s="1"/>
      <c r="Q139" s="1"/>
      <c r="R139" s="1"/>
    </row>
    <row r="140" spans="2:18" ht="12.75" customHeight="1" x14ac:dyDescent="0.25">
      <c r="B140"/>
      <c r="C140"/>
      <c r="D140"/>
      <c r="J140" s="1"/>
      <c r="K140" s="1"/>
      <c r="Q140" s="1"/>
      <c r="R140" s="1"/>
    </row>
    <row r="141" spans="2:18" ht="12.75" customHeight="1" x14ac:dyDescent="0.25">
      <c r="B141"/>
      <c r="C141"/>
      <c r="D141"/>
      <c r="J141" s="1"/>
      <c r="K141" s="1"/>
      <c r="Q141" s="1"/>
      <c r="R141" s="1"/>
    </row>
    <row r="142" spans="2:18" ht="12.75" customHeight="1" x14ac:dyDescent="0.25">
      <c r="B142"/>
      <c r="C142"/>
      <c r="D142"/>
      <c r="J142" s="1"/>
      <c r="K142" s="1"/>
      <c r="Q142" s="1"/>
      <c r="R142" s="1"/>
    </row>
    <row r="143" spans="2:18" ht="12.75" customHeight="1" x14ac:dyDescent="0.25">
      <c r="B143"/>
      <c r="C143"/>
      <c r="D143"/>
      <c r="J143" s="1"/>
      <c r="K143" s="1"/>
      <c r="Q143" s="1"/>
      <c r="R143" s="1"/>
    </row>
    <row r="144" spans="2:18" ht="12.75" customHeight="1" x14ac:dyDescent="0.25">
      <c r="B144"/>
      <c r="C144"/>
      <c r="D144"/>
      <c r="J144" s="1"/>
      <c r="K144" s="1"/>
      <c r="Q144" s="1"/>
      <c r="R144" s="1"/>
    </row>
    <row r="145" spans="2:18" ht="12.75" customHeight="1" x14ac:dyDescent="0.25">
      <c r="B145"/>
      <c r="C145"/>
      <c r="D145"/>
      <c r="J145" s="1"/>
      <c r="K145" s="1"/>
      <c r="Q145" s="1"/>
      <c r="R145" s="1"/>
    </row>
    <row r="146" spans="2:18" ht="12.75" customHeight="1" x14ac:dyDescent="0.25">
      <c r="B146"/>
      <c r="C146"/>
      <c r="D146"/>
      <c r="J146" s="1"/>
      <c r="K146" s="1"/>
      <c r="Q146" s="1"/>
      <c r="R146" s="1"/>
    </row>
    <row r="147" spans="2:18" ht="12.75" customHeight="1" x14ac:dyDescent="0.25">
      <c r="B147"/>
      <c r="C147"/>
      <c r="D147"/>
      <c r="J147" s="1"/>
      <c r="K147" s="1"/>
      <c r="Q147" s="1"/>
      <c r="R147" s="1"/>
    </row>
    <row r="148" spans="2:18" ht="12.75" customHeight="1" x14ac:dyDescent="0.25">
      <c r="B148"/>
      <c r="C148"/>
      <c r="D148"/>
      <c r="J148" s="1"/>
      <c r="K148" s="1"/>
      <c r="Q148" s="1"/>
      <c r="R148" s="1"/>
    </row>
    <row r="149" spans="2:18" ht="12.75" customHeight="1" x14ac:dyDescent="0.25">
      <c r="B149"/>
      <c r="C149"/>
      <c r="D149"/>
      <c r="J149" s="1"/>
      <c r="K149" s="1"/>
      <c r="Q149" s="1"/>
      <c r="R149" s="1"/>
    </row>
    <row r="150" spans="2:18" ht="12.75" customHeight="1" x14ac:dyDescent="0.25">
      <c r="B150"/>
      <c r="C150"/>
      <c r="D150"/>
      <c r="J150" s="1"/>
      <c r="K150" s="1"/>
      <c r="Q150" s="1"/>
      <c r="R150" s="1"/>
    </row>
    <row r="151" spans="2:18" ht="12.75" customHeight="1" x14ac:dyDescent="0.25">
      <c r="B151"/>
      <c r="C151"/>
      <c r="D151"/>
      <c r="J151" s="1"/>
      <c r="K151" s="1"/>
      <c r="Q151" s="1"/>
      <c r="R151" s="1"/>
    </row>
    <row r="152" spans="2:18" ht="12.75" customHeight="1" x14ac:dyDescent="0.25">
      <c r="B152"/>
      <c r="C152"/>
      <c r="D152"/>
      <c r="J152" s="1"/>
      <c r="K152" s="1"/>
      <c r="Q152" s="1"/>
      <c r="R152" s="1"/>
    </row>
    <row r="153" spans="2:18" ht="12.75" customHeight="1" x14ac:dyDescent="0.25">
      <c r="B153"/>
      <c r="C153"/>
      <c r="D153"/>
      <c r="J153" s="1"/>
      <c r="K153" s="1"/>
      <c r="Q153" s="1"/>
      <c r="R153" s="1"/>
    </row>
    <row r="154" spans="2:18" ht="12.75" customHeight="1" x14ac:dyDescent="0.25">
      <c r="B154"/>
      <c r="C154"/>
      <c r="D154"/>
      <c r="J154" s="1"/>
      <c r="K154" s="1"/>
      <c r="Q154" s="1"/>
      <c r="R154" s="1"/>
    </row>
    <row r="155" spans="2:18" ht="12.75" customHeight="1" x14ac:dyDescent="0.25">
      <c r="B155"/>
      <c r="C155"/>
      <c r="D155"/>
      <c r="J155" s="1"/>
      <c r="K155" s="1"/>
      <c r="Q155" s="1"/>
      <c r="R155" s="1"/>
    </row>
    <row r="156" spans="2:18" ht="12.75" customHeight="1" x14ac:dyDescent="0.25">
      <c r="B156"/>
      <c r="C156"/>
      <c r="D156"/>
      <c r="J156" s="1"/>
      <c r="K156" s="1"/>
      <c r="Q156" s="1"/>
      <c r="R156" s="1"/>
    </row>
    <row r="157" spans="2:18" ht="12.75" customHeight="1" x14ac:dyDescent="0.25">
      <c r="B157"/>
      <c r="C157"/>
      <c r="D157"/>
      <c r="J157" s="1"/>
      <c r="K157" s="1"/>
      <c r="Q157" s="1"/>
      <c r="R157" s="1"/>
    </row>
    <row r="158" spans="2:18" ht="12.75" customHeight="1" x14ac:dyDescent="0.25">
      <c r="B158"/>
      <c r="C158"/>
      <c r="D158"/>
      <c r="J158" s="1"/>
      <c r="K158" s="1"/>
      <c r="Q158" s="1"/>
      <c r="R158" s="1"/>
    </row>
    <row r="159" spans="2:18" ht="12.75" customHeight="1" x14ac:dyDescent="0.25">
      <c r="B159"/>
      <c r="C159"/>
      <c r="D159"/>
      <c r="J159" s="1"/>
      <c r="K159" s="1"/>
      <c r="Q159" s="1"/>
      <c r="R159" s="1"/>
    </row>
    <row r="160" spans="2:18" ht="12.75" customHeight="1" x14ac:dyDescent="0.25">
      <c r="B160"/>
      <c r="C160"/>
      <c r="D160"/>
      <c r="J160" s="1"/>
      <c r="K160" s="1"/>
      <c r="Q160" s="1"/>
      <c r="R160" s="1"/>
    </row>
    <row r="161" spans="2:18" ht="12.75" customHeight="1" x14ac:dyDescent="0.25">
      <c r="B161"/>
      <c r="C161"/>
      <c r="D161"/>
      <c r="J161" s="1"/>
      <c r="K161" s="1"/>
      <c r="Q161" s="1"/>
      <c r="R161" s="1"/>
    </row>
    <row r="162" spans="2:18" ht="12.75" customHeight="1" x14ac:dyDescent="0.25">
      <c r="B162"/>
      <c r="C162"/>
      <c r="D162"/>
      <c r="J162" s="1"/>
      <c r="K162" s="1"/>
      <c r="Q162" s="1"/>
      <c r="R162" s="1"/>
    </row>
    <row r="163" spans="2:18" ht="12.75" customHeight="1" x14ac:dyDescent="0.25">
      <c r="B163"/>
      <c r="C163"/>
      <c r="D163"/>
      <c r="J163" s="1"/>
      <c r="K163" s="1"/>
      <c r="Q163" s="1"/>
      <c r="R163" s="1"/>
    </row>
    <row r="164" spans="2:18" ht="12.75" customHeight="1" x14ac:dyDescent="0.25">
      <c r="B164"/>
      <c r="C164"/>
      <c r="D164"/>
      <c r="J164" s="1"/>
      <c r="K164" s="1"/>
      <c r="Q164" s="1"/>
      <c r="R164" s="1"/>
    </row>
    <row r="165" spans="2:18" ht="12.75" customHeight="1" x14ac:dyDescent="0.25">
      <c r="B165"/>
      <c r="C165"/>
      <c r="D165"/>
      <c r="J165" s="1"/>
      <c r="K165" s="1"/>
      <c r="Q165" s="1"/>
      <c r="R165" s="1"/>
    </row>
    <row r="166" spans="2:18" ht="12.75" customHeight="1" x14ac:dyDescent="0.25">
      <c r="B166"/>
      <c r="C166"/>
      <c r="D166"/>
      <c r="J166" s="1"/>
      <c r="K166" s="1"/>
      <c r="Q166" s="1"/>
      <c r="R166" s="1"/>
    </row>
    <row r="167" spans="2:18" ht="12.75" customHeight="1" x14ac:dyDescent="0.25">
      <c r="B167"/>
      <c r="C167"/>
      <c r="D167"/>
      <c r="J167" s="1"/>
      <c r="K167" s="1"/>
      <c r="Q167" s="1"/>
      <c r="R167" s="1"/>
    </row>
    <row r="168" spans="2:18" ht="12.75" customHeight="1" x14ac:dyDescent="0.25">
      <c r="B168"/>
      <c r="C168"/>
      <c r="D168"/>
      <c r="J168" s="1"/>
      <c r="K168" s="1"/>
      <c r="Q168" s="1"/>
      <c r="R168" s="1"/>
    </row>
    <row r="169" spans="2:18" ht="12.75" customHeight="1" x14ac:dyDescent="0.25">
      <c r="B169"/>
      <c r="C169"/>
      <c r="D169"/>
      <c r="J169" s="1"/>
      <c r="K169" s="1"/>
      <c r="Q169" s="1"/>
      <c r="R169" s="1"/>
    </row>
    <row r="170" spans="2:18" ht="12.75" customHeight="1" x14ac:dyDescent="0.25">
      <c r="B170"/>
      <c r="C170"/>
      <c r="D170"/>
      <c r="J170" s="1"/>
      <c r="K170" s="1"/>
      <c r="Q170" s="1"/>
      <c r="R170" s="1"/>
    </row>
    <row r="171" spans="2:18" ht="12.75" customHeight="1" x14ac:dyDescent="0.25">
      <c r="B171"/>
      <c r="C171"/>
      <c r="D171"/>
      <c r="J171" s="1"/>
      <c r="K171" s="1"/>
      <c r="Q171" s="1"/>
      <c r="R171" s="1"/>
    </row>
    <row r="172" spans="2:18" ht="12.75" customHeight="1" x14ac:dyDescent="0.25">
      <c r="B172"/>
      <c r="C172"/>
      <c r="D172"/>
      <c r="J172" s="1"/>
      <c r="K172" s="1"/>
      <c r="Q172" s="1"/>
      <c r="R172" s="1"/>
    </row>
    <row r="173" spans="2:18" ht="12.75" customHeight="1" x14ac:dyDescent="0.25">
      <c r="B173"/>
      <c r="C173"/>
      <c r="D173"/>
      <c r="J173" s="1"/>
      <c r="K173" s="1"/>
      <c r="Q173" s="1"/>
      <c r="R173" s="1"/>
    </row>
    <row r="174" spans="2:18" ht="12.75" customHeight="1" x14ac:dyDescent="0.25">
      <c r="B174"/>
      <c r="C174"/>
      <c r="D174"/>
      <c r="J174" s="1"/>
      <c r="K174" s="1"/>
      <c r="Q174" s="1"/>
      <c r="R174" s="1"/>
    </row>
    <row r="175" spans="2:18" ht="12.75" customHeight="1" x14ac:dyDescent="0.25">
      <c r="B175"/>
      <c r="C175"/>
      <c r="D175"/>
      <c r="J175" s="1"/>
      <c r="K175" s="1"/>
      <c r="Q175" s="1"/>
      <c r="R175" s="1"/>
    </row>
    <row r="176" spans="2:18" ht="12.75" customHeight="1" x14ac:dyDescent="0.25">
      <c r="B176"/>
      <c r="C176"/>
      <c r="D176"/>
      <c r="J176" s="1"/>
      <c r="K176" s="1"/>
      <c r="Q176" s="1"/>
      <c r="R176" s="1"/>
    </row>
    <row r="177" spans="2:18" ht="12.75" customHeight="1" x14ac:dyDescent="0.25">
      <c r="B177"/>
      <c r="C177"/>
      <c r="D177"/>
      <c r="J177" s="1"/>
      <c r="K177" s="1"/>
      <c r="Q177" s="1"/>
      <c r="R177" s="1"/>
    </row>
    <row r="178" spans="2:18" ht="12.75" customHeight="1" x14ac:dyDescent="0.25">
      <c r="B178"/>
      <c r="C178"/>
      <c r="D178"/>
      <c r="J178" s="1"/>
      <c r="K178" s="1"/>
      <c r="Q178" s="1"/>
      <c r="R178" s="1"/>
    </row>
    <row r="179" spans="2:18" ht="12.75" customHeight="1" x14ac:dyDescent="0.25">
      <c r="B179"/>
      <c r="C179"/>
      <c r="D179"/>
      <c r="J179" s="1"/>
      <c r="K179" s="1"/>
      <c r="Q179" s="1"/>
      <c r="R179" s="1"/>
    </row>
    <row r="180" spans="2:18" ht="12.75" customHeight="1" x14ac:dyDescent="0.25">
      <c r="B180"/>
      <c r="C180"/>
      <c r="D180"/>
      <c r="J180" s="1"/>
      <c r="K180" s="1"/>
      <c r="Q180" s="1"/>
      <c r="R180" s="1"/>
    </row>
    <row r="181" spans="2:18" ht="12.75" customHeight="1" x14ac:dyDescent="0.25">
      <c r="B181"/>
      <c r="C181"/>
      <c r="D181"/>
      <c r="J181" s="1"/>
      <c r="K181" s="1"/>
      <c r="Q181" s="1"/>
      <c r="R181" s="1"/>
    </row>
    <row r="182" spans="2:18" ht="12.75" customHeight="1" x14ac:dyDescent="0.25">
      <c r="B182"/>
      <c r="C182"/>
      <c r="D182"/>
      <c r="J182" s="1"/>
      <c r="K182" s="1"/>
      <c r="Q182" s="1"/>
      <c r="R182" s="1"/>
    </row>
    <row r="183" spans="2:18" ht="12.75" customHeight="1" x14ac:dyDescent="0.25">
      <c r="B183"/>
      <c r="C183"/>
      <c r="D183"/>
      <c r="J183" s="1"/>
      <c r="K183" s="1"/>
      <c r="Q183" s="1"/>
      <c r="R183" s="1"/>
    </row>
    <row r="184" spans="2:18" ht="12.75" customHeight="1" x14ac:dyDescent="0.25">
      <c r="B184"/>
      <c r="C184"/>
      <c r="D184"/>
      <c r="J184" s="1"/>
      <c r="K184" s="1"/>
      <c r="Q184" s="1"/>
      <c r="R184" s="1"/>
    </row>
    <row r="185" spans="2:18" ht="12.75" customHeight="1" x14ac:dyDescent="0.25">
      <c r="B185"/>
      <c r="C185"/>
      <c r="D185"/>
      <c r="J185" s="1"/>
      <c r="K185" s="1"/>
      <c r="Q185" s="1"/>
      <c r="R185" s="1"/>
    </row>
    <row r="186" spans="2:18" ht="12.75" customHeight="1" x14ac:dyDescent="0.25">
      <c r="B186"/>
      <c r="C186"/>
      <c r="D186"/>
      <c r="J186" s="1"/>
      <c r="K186" s="1"/>
      <c r="Q186" s="1"/>
      <c r="R186" s="1"/>
    </row>
    <row r="187" spans="2:18" ht="12.75" customHeight="1" x14ac:dyDescent="0.25">
      <c r="B187"/>
      <c r="C187"/>
      <c r="D187"/>
      <c r="J187" s="1"/>
      <c r="K187" s="1"/>
      <c r="Q187" s="1"/>
      <c r="R187" s="1"/>
    </row>
    <row r="188" spans="2:18" ht="12.75" customHeight="1" x14ac:dyDescent="0.25">
      <c r="B188"/>
      <c r="C188"/>
      <c r="D188"/>
      <c r="J188" s="1"/>
      <c r="K188" s="1"/>
      <c r="Q188" s="1"/>
      <c r="R188" s="1"/>
    </row>
    <row r="189" spans="2:18" ht="12.75" customHeight="1" x14ac:dyDescent="0.25">
      <c r="B189"/>
      <c r="C189"/>
      <c r="D189"/>
      <c r="J189" s="1"/>
      <c r="K189" s="1"/>
      <c r="Q189" s="1"/>
      <c r="R189" s="1"/>
    </row>
    <row r="190" spans="2:18" ht="12.75" customHeight="1" x14ac:dyDescent="0.25">
      <c r="B190"/>
      <c r="C190"/>
      <c r="D190"/>
      <c r="J190" s="1"/>
      <c r="K190" s="1"/>
      <c r="Q190" s="1"/>
      <c r="R190" s="1"/>
    </row>
    <row r="191" spans="2:18" ht="12.75" customHeight="1" x14ac:dyDescent="0.25">
      <c r="B191"/>
      <c r="C191"/>
      <c r="D191"/>
      <c r="J191" s="1"/>
      <c r="K191" s="1"/>
      <c r="Q191" s="1"/>
      <c r="R191" s="1"/>
    </row>
    <row r="192" spans="2:18" ht="12.75" customHeight="1" x14ac:dyDescent="0.25">
      <c r="B192"/>
      <c r="C192"/>
      <c r="D192"/>
      <c r="J192" s="1"/>
      <c r="K192" s="1"/>
      <c r="Q192" s="1"/>
      <c r="R192" s="1"/>
    </row>
    <row r="193" spans="2:18" ht="12.75" customHeight="1" x14ac:dyDescent="0.25">
      <c r="B193"/>
      <c r="C193"/>
      <c r="D193"/>
      <c r="J193" s="1"/>
      <c r="K193" s="1"/>
      <c r="Q193" s="1"/>
      <c r="R193" s="1"/>
    </row>
    <row r="194" spans="2:18" ht="12.75" customHeight="1" x14ac:dyDescent="0.25">
      <c r="B194"/>
      <c r="C194"/>
      <c r="D194"/>
      <c r="J194" s="1"/>
      <c r="K194" s="1"/>
      <c r="Q194" s="1"/>
      <c r="R194" s="1"/>
    </row>
    <row r="195" spans="2:18" ht="12.75" customHeight="1" x14ac:dyDescent="0.25">
      <c r="B195"/>
      <c r="C195"/>
      <c r="D195"/>
      <c r="J195" s="1"/>
      <c r="K195" s="1"/>
      <c r="Q195" s="1"/>
      <c r="R195" s="1"/>
    </row>
    <row r="196" spans="2:18" ht="12.75" customHeight="1" x14ac:dyDescent="0.25">
      <c r="B196"/>
      <c r="C196"/>
      <c r="D196"/>
      <c r="J196" s="1"/>
      <c r="K196" s="1"/>
      <c r="Q196" s="1"/>
      <c r="R196" s="1"/>
    </row>
    <row r="197" spans="2:18" ht="12.75" customHeight="1" x14ac:dyDescent="0.25">
      <c r="B197"/>
      <c r="C197"/>
      <c r="D197"/>
      <c r="J197" s="1"/>
      <c r="K197" s="1"/>
      <c r="Q197" s="1"/>
      <c r="R197" s="1"/>
    </row>
    <row r="198" spans="2:18" ht="12.75" customHeight="1" x14ac:dyDescent="0.25">
      <c r="B198"/>
      <c r="C198"/>
      <c r="D198"/>
      <c r="J198" s="1"/>
      <c r="K198" s="1"/>
      <c r="Q198" s="1"/>
      <c r="R198" s="1"/>
    </row>
    <row r="199" spans="2:18" ht="12.75" customHeight="1" x14ac:dyDescent="0.25">
      <c r="B199"/>
      <c r="C199"/>
      <c r="D199"/>
      <c r="J199" s="1"/>
      <c r="K199" s="1"/>
      <c r="Q199" s="1"/>
      <c r="R199" s="1"/>
    </row>
    <row r="200" spans="2:18" ht="12.75" customHeight="1" x14ac:dyDescent="0.25">
      <c r="B200"/>
      <c r="C200"/>
      <c r="D200"/>
      <c r="J200" s="1"/>
      <c r="K200" s="1"/>
      <c r="Q200" s="1"/>
      <c r="R200" s="1"/>
    </row>
    <row r="201" spans="2:18" ht="12.75" customHeight="1" x14ac:dyDescent="0.25">
      <c r="B201"/>
      <c r="C201"/>
      <c r="D201"/>
      <c r="J201" s="1"/>
      <c r="K201" s="1"/>
      <c r="Q201" s="1"/>
      <c r="R201" s="1"/>
    </row>
    <row r="202" spans="2:18" ht="12.75" customHeight="1" x14ac:dyDescent="0.25">
      <c r="B202"/>
      <c r="C202"/>
      <c r="D202"/>
      <c r="J202" s="1"/>
      <c r="K202" s="1"/>
      <c r="Q202" s="1"/>
      <c r="R202" s="1"/>
    </row>
    <row r="203" spans="2:18" ht="12.75" customHeight="1" x14ac:dyDescent="0.25">
      <c r="B203"/>
      <c r="C203"/>
      <c r="D203"/>
      <c r="J203" s="1"/>
      <c r="K203" s="1"/>
      <c r="Q203" s="1"/>
      <c r="R203" s="1"/>
    </row>
    <row r="204" spans="2:18" ht="12.75" customHeight="1" x14ac:dyDescent="0.25">
      <c r="B204"/>
      <c r="C204"/>
      <c r="D204"/>
      <c r="J204" s="1"/>
      <c r="K204" s="1"/>
      <c r="Q204" s="1"/>
      <c r="R204" s="1"/>
    </row>
    <row r="205" spans="2:18" ht="12.75" customHeight="1" x14ac:dyDescent="0.25">
      <c r="B205"/>
      <c r="C205"/>
      <c r="D205"/>
      <c r="J205" s="1"/>
      <c r="K205" s="1"/>
      <c r="Q205" s="1"/>
      <c r="R205" s="1"/>
    </row>
    <row r="206" spans="2:18" ht="12.75" customHeight="1" x14ac:dyDescent="0.25">
      <c r="B206"/>
      <c r="C206"/>
      <c r="D206"/>
      <c r="J206" s="1"/>
      <c r="K206" s="1"/>
      <c r="Q206" s="1"/>
      <c r="R206" s="1"/>
    </row>
    <row r="207" spans="2:18" ht="12.75" customHeight="1" x14ac:dyDescent="0.25">
      <c r="B207"/>
      <c r="C207"/>
      <c r="D207"/>
      <c r="J207" s="1"/>
      <c r="K207" s="1"/>
      <c r="Q207" s="1"/>
      <c r="R207" s="1"/>
    </row>
    <row r="208" spans="2:18" ht="12.75" customHeight="1" x14ac:dyDescent="0.25">
      <c r="B208"/>
      <c r="C208"/>
      <c r="D208"/>
      <c r="J208" s="1"/>
      <c r="K208" s="1"/>
      <c r="Q208" s="1"/>
      <c r="R208" s="1"/>
    </row>
    <row r="209" spans="2:18" ht="12.75" customHeight="1" x14ac:dyDescent="0.25">
      <c r="B209"/>
      <c r="C209"/>
      <c r="D209"/>
      <c r="J209" s="1"/>
      <c r="K209" s="1"/>
      <c r="Q209" s="1"/>
      <c r="R209" s="1"/>
    </row>
    <row r="210" spans="2:18" ht="12.75" customHeight="1" x14ac:dyDescent="0.25">
      <c r="B210"/>
      <c r="C210"/>
      <c r="D210"/>
      <c r="J210" s="1"/>
      <c r="K210" s="1"/>
      <c r="Q210" s="1"/>
      <c r="R210" s="1"/>
    </row>
    <row r="211" spans="2:18" ht="12.75" customHeight="1" x14ac:dyDescent="0.25">
      <c r="B211"/>
      <c r="C211"/>
      <c r="D211"/>
      <c r="J211" s="1"/>
      <c r="K211" s="1"/>
      <c r="Q211" s="1"/>
      <c r="R211" s="1"/>
    </row>
    <row r="212" spans="2:18" ht="12.75" customHeight="1" x14ac:dyDescent="0.25">
      <c r="B212"/>
      <c r="C212"/>
      <c r="D212"/>
      <c r="J212" s="1"/>
      <c r="K212" s="1"/>
      <c r="Q212" s="1"/>
      <c r="R212" s="1"/>
    </row>
    <row r="213" spans="2:18" ht="12.75" customHeight="1" x14ac:dyDescent="0.25">
      <c r="B213"/>
      <c r="C213"/>
      <c r="D213"/>
      <c r="J213" s="1"/>
      <c r="K213" s="1"/>
      <c r="Q213" s="1"/>
      <c r="R213" s="1"/>
    </row>
    <row r="214" spans="2:18" ht="12.75" customHeight="1" x14ac:dyDescent="0.25">
      <c r="B214"/>
      <c r="C214"/>
      <c r="D214"/>
      <c r="J214" s="1"/>
      <c r="K214" s="1"/>
      <c r="Q214" s="1"/>
      <c r="R214" s="1"/>
    </row>
    <row r="215" spans="2:18" ht="12.75" customHeight="1" x14ac:dyDescent="0.25">
      <c r="B215"/>
      <c r="C215"/>
      <c r="D215"/>
      <c r="J215" s="1"/>
      <c r="K215" s="1"/>
      <c r="Q215" s="1"/>
      <c r="R215" s="1"/>
    </row>
    <row r="216" spans="2:18" ht="12.75" customHeight="1" x14ac:dyDescent="0.25">
      <c r="B216"/>
      <c r="C216"/>
      <c r="D216"/>
      <c r="J216" s="1"/>
      <c r="K216" s="1"/>
      <c r="Q216" s="1"/>
      <c r="R216" s="1"/>
    </row>
    <row r="217" spans="2:18" ht="12.75" customHeight="1" x14ac:dyDescent="0.25">
      <c r="B217"/>
      <c r="C217"/>
      <c r="D217"/>
      <c r="J217" s="1"/>
      <c r="K217" s="1"/>
      <c r="Q217" s="1"/>
      <c r="R217" s="1"/>
    </row>
    <row r="218" spans="2:18" ht="12.75" customHeight="1" x14ac:dyDescent="0.25">
      <c r="B218"/>
      <c r="C218"/>
      <c r="D218"/>
      <c r="J218" s="1"/>
      <c r="K218" s="1"/>
      <c r="Q218" s="1"/>
      <c r="R218" s="1"/>
    </row>
    <row r="219" spans="2:18" ht="12.75" customHeight="1" x14ac:dyDescent="0.25">
      <c r="B219"/>
      <c r="C219"/>
      <c r="D219"/>
      <c r="J219" s="1"/>
      <c r="K219" s="1"/>
      <c r="Q219" s="1"/>
      <c r="R219" s="1"/>
    </row>
    <row r="220" spans="2:18" ht="12.75" customHeight="1" x14ac:dyDescent="0.25">
      <c r="B220"/>
      <c r="C220"/>
      <c r="D220"/>
      <c r="J220" s="1"/>
      <c r="K220" s="1"/>
      <c r="Q220" s="1"/>
      <c r="R220" s="1"/>
    </row>
    <row r="221" spans="2:18" ht="12.75" customHeight="1" x14ac:dyDescent="0.25">
      <c r="B221"/>
      <c r="C221"/>
      <c r="D221"/>
      <c r="J221" s="1"/>
      <c r="K221" s="1"/>
      <c r="Q221" s="1"/>
      <c r="R221" s="1"/>
    </row>
    <row r="222" spans="2:18" ht="12.75" customHeight="1" x14ac:dyDescent="0.25">
      <c r="B222"/>
      <c r="C222"/>
      <c r="D222"/>
      <c r="J222" s="1"/>
      <c r="K222" s="1"/>
      <c r="Q222" s="1"/>
      <c r="R222" s="1"/>
    </row>
    <row r="223" spans="2:18" ht="12.75" customHeight="1" x14ac:dyDescent="0.25">
      <c r="B223"/>
      <c r="C223"/>
      <c r="D223"/>
      <c r="J223" s="1"/>
      <c r="K223" s="1"/>
      <c r="Q223" s="1"/>
      <c r="R223" s="1"/>
    </row>
    <row r="224" spans="2:18" ht="12.75" customHeight="1" x14ac:dyDescent="0.25">
      <c r="B224"/>
      <c r="C224"/>
      <c r="D224"/>
      <c r="J224" s="1"/>
      <c r="K224" s="1"/>
      <c r="Q224" s="1"/>
      <c r="R224" s="1"/>
    </row>
    <row r="225" spans="2:18" ht="12.75" customHeight="1" x14ac:dyDescent="0.25">
      <c r="B225"/>
      <c r="C225"/>
      <c r="D225"/>
      <c r="J225" s="1"/>
      <c r="K225" s="1"/>
      <c r="Q225" s="1"/>
      <c r="R225" s="1"/>
    </row>
    <row r="226" spans="2:18" ht="12.75" customHeight="1" x14ac:dyDescent="0.25">
      <c r="B226"/>
      <c r="C226"/>
      <c r="D226"/>
      <c r="J226" s="1"/>
      <c r="K226" s="1"/>
      <c r="Q226" s="1"/>
      <c r="R226" s="1"/>
    </row>
    <row r="227" spans="2:18" ht="12.75" customHeight="1" x14ac:dyDescent="0.25">
      <c r="B227"/>
      <c r="C227"/>
      <c r="D227"/>
      <c r="J227" s="1"/>
      <c r="K227" s="1"/>
      <c r="Q227" s="1"/>
      <c r="R227" s="1"/>
    </row>
    <row r="228" spans="2:18" ht="12.75" customHeight="1" x14ac:dyDescent="0.25">
      <c r="B228"/>
      <c r="C228"/>
      <c r="D228"/>
      <c r="J228" s="1"/>
      <c r="K228" s="1"/>
      <c r="Q228" s="1"/>
      <c r="R228" s="1"/>
    </row>
    <row r="229" spans="2:18" ht="12.75" customHeight="1" x14ac:dyDescent="0.25">
      <c r="B229"/>
      <c r="C229"/>
      <c r="D229"/>
      <c r="J229" s="1"/>
      <c r="K229" s="1"/>
      <c r="Q229" s="1"/>
      <c r="R229" s="1"/>
    </row>
    <row r="230" spans="2:18" ht="12.75" customHeight="1" x14ac:dyDescent="0.25">
      <c r="B230"/>
      <c r="C230"/>
      <c r="D230"/>
      <c r="J230" s="1"/>
      <c r="K230" s="1"/>
      <c r="Q230" s="1"/>
      <c r="R230" s="1"/>
    </row>
    <row r="231" spans="2:18" ht="12.75" customHeight="1" x14ac:dyDescent="0.25">
      <c r="B231"/>
      <c r="C231"/>
      <c r="D231"/>
      <c r="J231" s="1"/>
      <c r="K231" s="1"/>
      <c r="Q231" s="1"/>
      <c r="R231" s="1"/>
    </row>
    <row r="232" spans="2:18" ht="12.75" customHeight="1" x14ac:dyDescent="0.25">
      <c r="B232"/>
      <c r="C232"/>
      <c r="D232"/>
      <c r="J232" s="1"/>
      <c r="K232" s="1"/>
      <c r="Q232" s="1"/>
      <c r="R232" s="1"/>
    </row>
    <row r="233" spans="2:18" ht="12.75" customHeight="1" x14ac:dyDescent="0.25">
      <c r="B233"/>
      <c r="C233"/>
      <c r="D233"/>
      <c r="J233" s="1"/>
      <c r="K233" s="1"/>
      <c r="Q233" s="1"/>
      <c r="R233" s="1"/>
    </row>
    <row r="234" spans="2:18" ht="12.75" customHeight="1" x14ac:dyDescent="0.25">
      <c r="B234"/>
      <c r="C234"/>
      <c r="D234"/>
      <c r="J234" s="1"/>
      <c r="K234" s="1"/>
      <c r="Q234" s="1"/>
      <c r="R234" s="1"/>
    </row>
    <row r="235" spans="2:18" ht="12.75" customHeight="1" x14ac:dyDescent="0.25">
      <c r="B235"/>
      <c r="C235"/>
      <c r="D235"/>
      <c r="J235" s="1"/>
      <c r="K235" s="1"/>
      <c r="Q235" s="1"/>
      <c r="R235" s="1"/>
    </row>
    <row r="236" spans="2:18" ht="12.75" customHeight="1" x14ac:dyDescent="0.25">
      <c r="B236"/>
      <c r="C236"/>
      <c r="D236"/>
      <c r="J236" s="1"/>
      <c r="K236" s="1"/>
      <c r="Q236" s="1"/>
      <c r="R236" s="1"/>
    </row>
    <row r="237" spans="2:18" ht="12.75" customHeight="1" x14ac:dyDescent="0.25">
      <c r="B237"/>
      <c r="C237"/>
      <c r="D237"/>
      <c r="J237" s="1"/>
      <c r="K237" s="1"/>
      <c r="Q237" s="1"/>
      <c r="R237" s="1"/>
    </row>
    <row r="238" spans="2:18" ht="12.75" customHeight="1" x14ac:dyDescent="0.25">
      <c r="B238"/>
      <c r="C238"/>
      <c r="D238"/>
      <c r="J238" s="1"/>
      <c r="K238" s="1"/>
      <c r="Q238" s="1"/>
      <c r="R238" s="1"/>
    </row>
    <row r="239" spans="2:18" ht="12.75" customHeight="1" x14ac:dyDescent="0.25">
      <c r="B239"/>
      <c r="C239"/>
      <c r="D239"/>
      <c r="J239" s="1"/>
      <c r="K239" s="1"/>
      <c r="Q239" s="1"/>
      <c r="R239" s="1"/>
    </row>
    <row r="240" spans="2:18" ht="12.75" customHeight="1" x14ac:dyDescent="0.25">
      <c r="B240"/>
      <c r="C240"/>
      <c r="D240"/>
      <c r="J240" s="1"/>
      <c r="K240" s="1"/>
      <c r="Q240" s="1"/>
      <c r="R240" s="1"/>
    </row>
    <row r="241" spans="2:18" ht="12.75" customHeight="1" x14ac:dyDescent="0.25">
      <c r="B241"/>
      <c r="C241"/>
      <c r="D241"/>
      <c r="J241" s="1"/>
      <c r="K241" s="1"/>
      <c r="Q241" s="1"/>
      <c r="R241" s="1"/>
    </row>
    <row r="242" spans="2:18" ht="12.75" customHeight="1" x14ac:dyDescent="0.25">
      <c r="B242"/>
      <c r="C242"/>
      <c r="D242"/>
      <c r="J242" s="1"/>
      <c r="K242" s="1"/>
      <c r="Q242" s="1"/>
      <c r="R242" s="1"/>
    </row>
    <row r="243" spans="2:18" ht="12.75" customHeight="1" x14ac:dyDescent="0.25">
      <c r="B243"/>
      <c r="C243"/>
      <c r="D243"/>
      <c r="J243" s="1"/>
      <c r="K243" s="1"/>
      <c r="Q243" s="1"/>
      <c r="R243" s="1"/>
    </row>
    <row r="244" spans="2:18" ht="12.75" customHeight="1" x14ac:dyDescent="0.25">
      <c r="B244"/>
      <c r="C244"/>
      <c r="D244"/>
      <c r="J244" s="1"/>
      <c r="K244" s="1"/>
      <c r="Q244" s="1"/>
      <c r="R244" s="1"/>
    </row>
    <row r="245" spans="2:18" ht="12.75" customHeight="1" x14ac:dyDescent="0.25">
      <c r="B245"/>
      <c r="C245"/>
      <c r="D245"/>
      <c r="J245" s="1"/>
      <c r="K245" s="1"/>
      <c r="Q245" s="1"/>
      <c r="R245" s="1"/>
    </row>
    <row r="246" spans="2:18" ht="12.75" customHeight="1" x14ac:dyDescent="0.25">
      <c r="B246"/>
      <c r="C246"/>
      <c r="D246"/>
      <c r="J246" s="1"/>
      <c r="K246" s="1"/>
      <c r="Q246" s="1"/>
      <c r="R246" s="1"/>
    </row>
    <row r="247" spans="2:18" ht="12.75" customHeight="1" x14ac:dyDescent="0.25">
      <c r="B247"/>
      <c r="C247"/>
      <c r="D247"/>
      <c r="J247" s="1"/>
      <c r="K247" s="1"/>
      <c r="Q247" s="1"/>
      <c r="R247" s="1"/>
    </row>
    <row r="248" spans="2:18" ht="12.75" customHeight="1" x14ac:dyDescent="0.25">
      <c r="B248"/>
      <c r="C248"/>
      <c r="D248"/>
      <c r="J248" s="1"/>
      <c r="K248" s="1"/>
      <c r="Q248" s="1"/>
      <c r="R248" s="1"/>
    </row>
    <row r="249" spans="2:18" ht="12.75" customHeight="1" x14ac:dyDescent="0.25">
      <c r="B249"/>
      <c r="C249"/>
      <c r="D249"/>
      <c r="J249" s="1"/>
      <c r="K249" s="1"/>
      <c r="Q249" s="1"/>
      <c r="R249" s="1"/>
    </row>
    <row r="250" spans="2:18" ht="12.75" customHeight="1" x14ac:dyDescent="0.25">
      <c r="B250"/>
      <c r="C250"/>
      <c r="D250"/>
      <c r="J250" s="1"/>
      <c r="K250" s="1"/>
      <c r="Q250" s="1"/>
      <c r="R250" s="1"/>
    </row>
    <row r="251" spans="2:18" ht="12.75" customHeight="1" x14ac:dyDescent="0.25">
      <c r="B251"/>
      <c r="C251"/>
      <c r="D251"/>
      <c r="J251" s="1"/>
      <c r="K251" s="1"/>
      <c r="Q251" s="1"/>
      <c r="R251" s="1"/>
    </row>
    <row r="252" spans="2:18" ht="12.75" customHeight="1" x14ac:dyDescent="0.25">
      <c r="B252"/>
      <c r="C252"/>
      <c r="D252"/>
      <c r="J252" s="1"/>
      <c r="K252" s="1"/>
      <c r="Q252" s="1"/>
      <c r="R252" s="1"/>
    </row>
    <row r="253" spans="2:18" ht="12.75" customHeight="1" x14ac:dyDescent="0.25">
      <c r="B253"/>
      <c r="C253"/>
      <c r="D253"/>
      <c r="J253" s="1"/>
      <c r="K253" s="1"/>
      <c r="Q253" s="1"/>
      <c r="R253" s="1"/>
    </row>
    <row r="254" spans="2:18" ht="12.75" customHeight="1" x14ac:dyDescent="0.25">
      <c r="B254"/>
      <c r="C254"/>
      <c r="D254"/>
      <c r="J254" s="1"/>
      <c r="K254" s="1"/>
      <c r="Q254" s="1"/>
      <c r="R254" s="1"/>
    </row>
    <row r="255" spans="2:18" ht="12.75" customHeight="1" x14ac:dyDescent="0.25">
      <c r="B255"/>
      <c r="C255"/>
      <c r="D255"/>
      <c r="J255" s="1"/>
      <c r="K255" s="1"/>
      <c r="Q255" s="1"/>
      <c r="R255" s="1"/>
    </row>
    <row r="256" spans="2:18" ht="12.75" customHeight="1" x14ac:dyDescent="0.25">
      <c r="B256"/>
      <c r="C256"/>
      <c r="D256"/>
      <c r="J256" s="1"/>
      <c r="K256" s="1"/>
      <c r="Q256" s="1"/>
      <c r="R256" s="1"/>
    </row>
    <row r="257" spans="2:18" ht="12.75" customHeight="1" x14ac:dyDescent="0.25">
      <c r="B257"/>
      <c r="C257"/>
      <c r="D257"/>
      <c r="J257" s="1"/>
      <c r="K257" s="1"/>
      <c r="Q257" s="1"/>
      <c r="R257" s="1"/>
    </row>
    <row r="258" spans="2:18" ht="12.75" customHeight="1" x14ac:dyDescent="0.25">
      <c r="B258"/>
      <c r="C258"/>
      <c r="D258"/>
      <c r="J258" s="1"/>
      <c r="K258" s="1"/>
      <c r="Q258" s="1"/>
      <c r="R258" s="1"/>
    </row>
    <row r="259" spans="2:18" ht="12.75" customHeight="1" x14ac:dyDescent="0.25">
      <c r="B259"/>
      <c r="C259"/>
      <c r="D259"/>
      <c r="J259" s="1"/>
      <c r="K259" s="1"/>
      <c r="Q259" s="1"/>
      <c r="R259" s="1"/>
    </row>
    <row r="260" spans="2:18" ht="12.75" customHeight="1" x14ac:dyDescent="0.25">
      <c r="B260"/>
      <c r="C260"/>
      <c r="D260"/>
      <c r="J260" s="1"/>
      <c r="K260" s="1"/>
      <c r="Q260" s="1"/>
      <c r="R260" s="1"/>
    </row>
    <row r="261" spans="2:18" ht="12.75" customHeight="1" x14ac:dyDescent="0.25">
      <c r="B261"/>
      <c r="C261"/>
      <c r="D261"/>
      <c r="J261" s="1"/>
      <c r="K261" s="1"/>
      <c r="Q261" s="1"/>
      <c r="R261" s="1"/>
    </row>
    <row r="262" spans="2:18" ht="12.75" customHeight="1" x14ac:dyDescent="0.25">
      <c r="B262"/>
      <c r="C262"/>
      <c r="D262"/>
      <c r="J262" s="1"/>
      <c r="K262" s="1"/>
      <c r="Q262" s="1"/>
      <c r="R262" s="1"/>
    </row>
    <row r="263" spans="2:18" ht="12.75" customHeight="1" x14ac:dyDescent="0.25">
      <c r="B263"/>
      <c r="C263"/>
      <c r="D263"/>
      <c r="J263" s="1"/>
      <c r="K263" s="1"/>
      <c r="Q263" s="1"/>
      <c r="R263" s="1"/>
    </row>
    <row r="264" spans="2:18" ht="12.75" customHeight="1" x14ac:dyDescent="0.25">
      <c r="B264"/>
      <c r="C264"/>
      <c r="D264"/>
      <c r="J264" s="1"/>
      <c r="K264" s="1"/>
      <c r="Q264" s="1"/>
      <c r="R264" s="1"/>
    </row>
    <row r="265" spans="2:18" ht="12.75" customHeight="1" x14ac:dyDescent="0.25">
      <c r="B265"/>
      <c r="C265"/>
      <c r="D265"/>
      <c r="J265" s="1"/>
      <c r="K265" s="1"/>
      <c r="Q265" s="1"/>
      <c r="R265" s="1"/>
    </row>
    <row r="266" spans="2:18" ht="12.75" customHeight="1" x14ac:dyDescent="0.25">
      <c r="B266"/>
      <c r="C266"/>
      <c r="D266"/>
      <c r="J266" s="1"/>
      <c r="K266" s="1"/>
      <c r="Q266" s="1"/>
      <c r="R266" s="1"/>
    </row>
    <row r="267" spans="2:18" ht="12.75" customHeight="1" x14ac:dyDescent="0.25">
      <c r="B267"/>
      <c r="C267"/>
      <c r="D267"/>
      <c r="J267" s="1"/>
      <c r="K267" s="1"/>
      <c r="Q267" s="1"/>
      <c r="R267" s="1"/>
    </row>
    <row r="268" spans="2:18" ht="12.75" customHeight="1" x14ac:dyDescent="0.25">
      <c r="B268"/>
      <c r="C268"/>
      <c r="D268"/>
      <c r="J268" s="1"/>
      <c r="K268" s="1"/>
      <c r="Q268" s="1"/>
      <c r="R268" s="1"/>
    </row>
    <row r="269" spans="2:18" ht="12.75" customHeight="1" x14ac:dyDescent="0.25">
      <c r="B269"/>
      <c r="C269"/>
      <c r="D269"/>
      <c r="J269" s="1"/>
      <c r="K269" s="1"/>
      <c r="Q269" s="1"/>
      <c r="R269" s="1"/>
    </row>
    <row r="270" spans="2:18" ht="12.75" customHeight="1" x14ac:dyDescent="0.25">
      <c r="B270"/>
      <c r="C270"/>
      <c r="D270"/>
      <c r="J270" s="1"/>
      <c r="K270" s="1"/>
      <c r="Q270" s="1"/>
      <c r="R270" s="1"/>
    </row>
    <row r="271" spans="2:18" ht="12.75" customHeight="1" x14ac:dyDescent="0.25">
      <c r="B271"/>
      <c r="C271"/>
      <c r="D271"/>
      <c r="J271" s="1"/>
      <c r="K271" s="1"/>
      <c r="Q271" s="1"/>
      <c r="R271" s="1"/>
    </row>
    <row r="272" spans="2:18" ht="12.75" customHeight="1" x14ac:dyDescent="0.25">
      <c r="B272"/>
      <c r="C272"/>
      <c r="D272"/>
      <c r="J272" s="1"/>
      <c r="K272" s="1"/>
      <c r="Q272" s="1"/>
      <c r="R272" s="1"/>
    </row>
    <row r="273" spans="2:18" ht="12.75" customHeight="1" x14ac:dyDescent="0.25">
      <c r="B273"/>
      <c r="C273"/>
      <c r="D273"/>
      <c r="J273" s="1"/>
      <c r="K273" s="1"/>
      <c r="Q273" s="1"/>
      <c r="R273" s="1"/>
    </row>
    <row r="274" spans="2:18" ht="12.75" customHeight="1" x14ac:dyDescent="0.25">
      <c r="B274"/>
      <c r="C274"/>
      <c r="D274"/>
      <c r="J274" s="1"/>
      <c r="K274" s="1"/>
      <c r="Q274" s="1"/>
      <c r="R274" s="1"/>
    </row>
    <row r="275" spans="2:18" ht="12.75" customHeight="1" x14ac:dyDescent="0.25">
      <c r="B275"/>
      <c r="C275"/>
      <c r="D275"/>
      <c r="J275" s="1"/>
      <c r="K275" s="1"/>
      <c r="Q275" s="1"/>
      <c r="R275" s="1"/>
    </row>
    <row r="276" spans="2:18" ht="12.75" customHeight="1" x14ac:dyDescent="0.25">
      <c r="B276"/>
      <c r="C276"/>
      <c r="D276"/>
      <c r="J276" s="1"/>
      <c r="K276" s="1"/>
      <c r="Q276" s="1"/>
      <c r="R276" s="1"/>
    </row>
    <row r="277" spans="2:18" ht="12.75" customHeight="1" x14ac:dyDescent="0.25">
      <c r="B277"/>
      <c r="C277"/>
      <c r="D277"/>
      <c r="J277" s="1"/>
      <c r="K277" s="1"/>
      <c r="Q277" s="1"/>
      <c r="R277" s="1"/>
    </row>
    <row r="278" spans="2:18" ht="12.75" customHeight="1" x14ac:dyDescent="0.25">
      <c r="B278"/>
      <c r="C278"/>
      <c r="D278"/>
      <c r="J278" s="1"/>
      <c r="K278" s="1"/>
      <c r="Q278" s="1"/>
      <c r="R278" s="1"/>
    </row>
    <row r="279" spans="2:18" ht="12.75" customHeight="1" x14ac:dyDescent="0.25">
      <c r="B279"/>
      <c r="C279"/>
      <c r="D279"/>
      <c r="J279" s="1"/>
      <c r="K279" s="1"/>
      <c r="Q279" s="1"/>
      <c r="R279" s="1"/>
    </row>
    <row r="280" spans="2:18" ht="12.75" customHeight="1" x14ac:dyDescent="0.25">
      <c r="B280"/>
      <c r="C280"/>
      <c r="D280"/>
      <c r="J280" s="1"/>
      <c r="K280" s="1"/>
      <c r="Q280" s="1"/>
      <c r="R280" s="1"/>
    </row>
    <row r="281" spans="2:18" ht="12.75" customHeight="1" x14ac:dyDescent="0.25">
      <c r="B281"/>
      <c r="C281"/>
      <c r="D281"/>
      <c r="J281" s="1"/>
      <c r="K281" s="1"/>
      <c r="Q281" s="1"/>
      <c r="R281" s="1"/>
    </row>
    <row r="282" spans="2:18" ht="12.75" customHeight="1" x14ac:dyDescent="0.25">
      <c r="B282"/>
      <c r="C282"/>
      <c r="D282"/>
      <c r="J282" s="1"/>
      <c r="K282" s="1"/>
      <c r="Q282" s="1"/>
      <c r="R282" s="1"/>
    </row>
    <row r="283" spans="2:18" ht="12.75" customHeight="1" x14ac:dyDescent="0.25">
      <c r="B283"/>
      <c r="C283"/>
      <c r="D283"/>
      <c r="J283" s="1"/>
      <c r="K283" s="1"/>
      <c r="Q283" s="1"/>
      <c r="R283" s="1"/>
    </row>
    <row r="284" spans="2:18" ht="12.75" customHeight="1" x14ac:dyDescent="0.25">
      <c r="B284"/>
      <c r="C284"/>
      <c r="D284"/>
      <c r="J284" s="1"/>
      <c r="K284" s="1"/>
      <c r="Q284" s="1"/>
      <c r="R284" s="1"/>
    </row>
    <row r="285" spans="2:18" ht="12.75" customHeight="1" x14ac:dyDescent="0.25">
      <c r="B285"/>
      <c r="C285"/>
      <c r="D285"/>
      <c r="J285" s="1"/>
      <c r="K285" s="1"/>
      <c r="Q285" s="1"/>
      <c r="R285" s="1"/>
    </row>
    <row r="286" spans="2:18" ht="12.75" customHeight="1" x14ac:dyDescent="0.25">
      <c r="B286"/>
      <c r="C286"/>
      <c r="D286"/>
      <c r="J286" s="1"/>
      <c r="K286" s="1"/>
      <c r="Q286" s="1"/>
      <c r="R286" s="1"/>
    </row>
    <row r="287" spans="2:18" ht="12.75" customHeight="1" x14ac:dyDescent="0.25">
      <c r="B287"/>
      <c r="C287"/>
      <c r="D287"/>
      <c r="J287" s="1"/>
      <c r="K287" s="1"/>
      <c r="Q287" s="1"/>
      <c r="R287" s="1"/>
    </row>
    <row r="288" spans="2:18" ht="12.75" customHeight="1" x14ac:dyDescent="0.25">
      <c r="B288"/>
      <c r="C288"/>
      <c r="D288"/>
      <c r="J288" s="1"/>
      <c r="K288" s="1"/>
      <c r="Q288" s="1"/>
      <c r="R288" s="1"/>
    </row>
    <row r="289" spans="2:18" ht="12.75" customHeight="1" x14ac:dyDescent="0.25">
      <c r="B289"/>
      <c r="C289"/>
      <c r="D289"/>
      <c r="J289" s="1"/>
      <c r="K289" s="1"/>
      <c r="Q289" s="1"/>
      <c r="R289" s="1"/>
    </row>
    <row r="290" spans="2:18" ht="12.75" customHeight="1" x14ac:dyDescent="0.25">
      <c r="B290"/>
      <c r="C290"/>
      <c r="D290"/>
      <c r="J290" s="1"/>
      <c r="K290" s="1"/>
      <c r="Q290" s="1"/>
      <c r="R290" s="1"/>
    </row>
    <row r="291" spans="2:18" ht="12.75" customHeight="1" x14ac:dyDescent="0.25">
      <c r="B291"/>
      <c r="C291"/>
      <c r="D291"/>
      <c r="J291" s="1"/>
      <c r="K291" s="1"/>
      <c r="Q291" s="1"/>
      <c r="R291" s="1"/>
    </row>
    <row r="292" spans="2:18" ht="12.75" customHeight="1" x14ac:dyDescent="0.25">
      <c r="B292"/>
      <c r="C292"/>
      <c r="D292"/>
      <c r="J292" s="1"/>
      <c r="K292" s="1"/>
      <c r="Q292" s="1"/>
      <c r="R292" s="1"/>
    </row>
    <row r="293" spans="2:18" ht="12.75" customHeight="1" x14ac:dyDescent="0.25">
      <c r="B293"/>
      <c r="C293"/>
      <c r="D293"/>
      <c r="J293" s="1"/>
      <c r="K293" s="1"/>
      <c r="Q293" s="1"/>
      <c r="R293" s="1"/>
    </row>
    <row r="294" spans="2:18" ht="12.75" customHeight="1" x14ac:dyDescent="0.25">
      <c r="B294"/>
      <c r="C294"/>
      <c r="D294"/>
      <c r="J294" s="1"/>
      <c r="K294" s="1"/>
      <c r="Q294" s="1"/>
      <c r="R294" s="1"/>
    </row>
    <row r="295" spans="2:18" ht="12.75" customHeight="1" x14ac:dyDescent="0.25">
      <c r="B295"/>
      <c r="C295"/>
      <c r="D295"/>
      <c r="J295" s="1"/>
      <c r="K295" s="1"/>
      <c r="Q295" s="1"/>
      <c r="R295" s="1"/>
    </row>
    <row r="296" spans="2:18" ht="12.75" customHeight="1" x14ac:dyDescent="0.25">
      <c r="B296"/>
      <c r="C296"/>
      <c r="D296"/>
      <c r="J296" s="1"/>
      <c r="K296" s="1"/>
      <c r="Q296" s="1"/>
      <c r="R296" s="1"/>
    </row>
    <row r="297" spans="2:18" ht="12.75" customHeight="1" x14ac:dyDescent="0.25">
      <c r="B297"/>
      <c r="C297"/>
      <c r="D297"/>
      <c r="J297" s="1"/>
      <c r="K297" s="1"/>
      <c r="Q297" s="1"/>
      <c r="R297" s="1"/>
    </row>
    <row r="298" spans="2:18" ht="12.75" customHeight="1" x14ac:dyDescent="0.25">
      <c r="B298"/>
      <c r="C298"/>
      <c r="D298"/>
      <c r="J298" s="1"/>
      <c r="K298" s="1"/>
      <c r="Q298" s="1"/>
      <c r="R298" s="1"/>
    </row>
    <row r="299" spans="2:18" ht="12.75" customHeight="1" x14ac:dyDescent="0.25">
      <c r="B299"/>
      <c r="C299"/>
      <c r="D299"/>
      <c r="J299" s="1"/>
      <c r="K299" s="1"/>
      <c r="Q299" s="1"/>
      <c r="R299" s="1"/>
    </row>
    <row r="300" spans="2:18" ht="12.75" customHeight="1" x14ac:dyDescent="0.25">
      <c r="B300"/>
      <c r="C300"/>
      <c r="D300"/>
      <c r="J300" s="1"/>
      <c r="K300" s="1"/>
      <c r="Q300" s="1"/>
      <c r="R300" s="1"/>
    </row>
    <row r="301" spans="2:18" ht="12.75" customHeight="1" x14ac:dyDescent="0.25">
      <c r="B301"/>
      <c r="C301"/>
      <c r="D301"/>
      <c r="J301" s="1"/>
      <c r="K301" s="1"/>
      <c r="Q301" s="1"/>
      <c r="R301" s="1"/>
    </row>
    <row r="302" spans="2:18" ht="12.75" customHeight="1" x14ac:dyDescent="0.25">
      <c r="B302"/>
      <c r="C302"/>
      <c r="D302"/>
      <c r="J302" s="1"/>
      <c r="K302" s="1"/>
      <c r="Q302" s="1"/>
      <c r="R302" s="1"/>
    </row>
    <row r="303" spans="2:18" ht="12.75" customHeight="1" x14ac:dyDescent="0.25">
      <c r="B303"/>
      <c r="C303"/>
      <c r="D303"/>
      <c r="J303" s="1"/>
      <c r="K303" s="1"/>
      <c r="Q303" s="1"/>
      <c r="R303" s="1"/>
    </row>
    <row r="304" spans="2:18" ht="12.75" customHeight="1" x14ac:dyDescent="0.25">
      <c r="B304"/>
      <c r="C304"/>
      <c r="D304"/>
      <c r="J304" s="1"/>
      <c r="K304" s="1"/>
      <c r="Q304" s="1"/>
      <c r="R304" s="1"/>
    </row>
    <row r="305" spans="2:18" ht="12.75" customHeight="1" x14ac:dyDescent="0.25">
      <c r="B305"/>
      <c r="C305"/>
      <c r="D305"/>
      <c r="J305" s="1"/>
      <c r="K305" s="1"/>
      <c r="Q305" s="1"/>
      <c r="R305" s="1"/>
    </row>
    <row r="306" spans="2:18" ht="12.75" customHeight="1" x14ac:dyDescent="0.25">
      <c r="B306"/>
      <c r="C306"/>
      <c r="D306"/>
      <c r="J306" s="1"/>
      <c r="K306" s="1"/>
      <c r="Q306" s="1"/>
      <c r="R306" s="1"/>
    </row>
    <row r="307" spans="2:18" ht="12.75" customHeight="1" x14ac:dyDescent="0.25">
      <c r="B307"/>
      <c r="C307"/>
      <c r="D307"/>
      <c r="J307" s="1"/>
      <c r="K307" s="1"/>
      <c r="Q307" s="1"/>
      <c r="R307" s="1"/>
    </row>
    <row r="308" spans="2:18" ht="12.75" customHeight="1" x14ac:dyDescent="0.25">
      <c r="B308"/>
      <c r="C308"/>
      <c r="D308"/>
      <c r="J308" s="1"/>
      <c r="K308" s="1"/>
      <c r="Q308" s="1"/>
      <c r="R308" s="1"/>
    </row>
    <row r="309" spans="2:18" ht="12.75" customHeight="1" x14ac:dyDescent="0.25">
      <c r="B309"/>
      <c r="C309"/>
      <c r="D309"/>
      <c r="J309" s="1"/>
      <c r="K309" s="1"/>
      <c r="Q309" s="1"/>
      <c r="R309" s="1"/>
    </row>
    <row r="310" spans="2:18" ht="12.75" customHeight="1" x14ac:dyDescent="0.25">
      <c r="B310"/>
      <c r="C310"/>
      <c r="D310"/>
      <c r="J310" s="1"/>
      <c r="K310" s="1"/>
      <c r="Q310" s="1"/>
      <c r="R310" s="1"/>
    </row>
    <row r="311" spans="2:18" ht="12.75" customHeight="1" x14ac:dyDescent="0.25">
      <c r="B311"/>
      <c r="C311"/>
      <c r="D311"/>
      <c r="J311" s="1"/>
      <c r="K311" s="1"/>
      <c r="Q311" s="1"/>
      <c r="R311" s="1"/>
    </row>
    <row r="312" spans="2:18" ht="12.75" customHeight="1" x14ac:dyDescent="0.25">
      <c r="B312"/>
      <c r="C312"/>
      <c r="D312"/>
      <c r="J312" s="1"/>
      <c r="K312" s="1"/>
      <c r="Q312" s="1"/>
      <c r="R312" s="1"/>
    </row>
    <row r="313" spans="2:18" ht="12.75" customHeight="1" x14ac:dyDescent="0.25">
      <c r="B313"/>
      <c r="C313"/>
      <c r="D313"/>
      <c r="J313" s="1"/>
      <c r="K313" s="1"/>
      <c r="Q313" s="1"/>
      <c r="R313" s="1"/>
    </row>
    <row r="314" spans="2:18" ht="12.75" customHeight="1" x14ac:dyDescent="0.25">
      <c r="B314"/>
      <c r="C314"/>
      <c r="D314"/>
      <c r="J314" s="1"/>
      <c r="K314" s="1"/>
      <c r="Q314" s="1"/>
      <c r="R314" s="1"/>
    </row>
    <row r="315" spans="2:18" ht="12.75" customHeight="1" x14ac:dyDescent="0.25">
      <c r="B315"/>
      <c r="C315"/>
      <c r="D315"/>
      <c r="J315" s="1"/>
      <c r="K315" s="1"/>
      <c r="Q315" s="1"/>
      <c r="R315" s="1"/>
    </row>
    <row r="316" spans="2:18" ht="12.75" customHeight="1" x14ac:dyDescent="0.25">
      <c r="B316"/>
      <c r="C316"/>
      <c r="D316"/>
      <c r="J316" s="1"/>
      <c r="K316" s="1"/>
      <c r="Q316" s="1"/>
      <c r="R316" s="1"/>
    </row>
    <row r="317" spans="2:18" ht="12.75" customHeight="1" x14ac:dyDescent="0.25">
      <c r="B317"/>
      <c r="C317"/>
      <c r="D317"/>
      <c r="J317" s="1"/>
      <c r="K317" s="1"/>
      <c r="Q317" s="1"/>
      <c r="R317" s="1"/>
    </row>
    <row r="318" spans="2:18" ht="12.75" customHeight="1" x14ac:dyDescent="0.25">
      <c r="B318"/>
      <c r="C318"/>
      <c r="D318"/>
      <c r="J318" s="1"/>
      <c r="K318" s="1"/>
      <c r="Q318" s="1"/>
      <c r="R318" s="1"/>
    </row>
    <row r="319" spans="2:18" ht="12.75" customHeight="1" x14ac:dyDescent="0.25">
      <c r="B319"/>
      <c r="C319"/>
      <c r="D319"/>
      <c r="J319" s="1"/>
      <c r="K319" s="1"/>
      <c r="Q319" s="1"/>
      <c r="R319" s="1"/>
    </row>
    <row r="320" spans="2:18" ht="12.75" customHeight="1" x14ac:dyDescent="0.25">
      <c r="B320"/>
      <c r="C320"/>
      <c r="D320"/>
      <c r="J320" s="1"/>
      <c r="K320" s="1"/>
      <c r="Q320" s="1"/>
      <c r="R320" s="1"/>
    </row>
    <row r="321" spans="2:18" ht="12.75" customHeight="1" x14ac:dyDescent="0.25">
      <c r="B321"/>
      <c r="C321"/>
      <c r="D321"/>
      <c r="J321" s="1"/>
      <c r="K321" s="1"/>
      <c r="Q321" s="1"/>
      <c r="R321" s="1"/>
    </row>
    <row r="322" spans="2:18" ht="12.75" customHeight="1" x14ac:dyDescent="0.25">
      <c r="B322"/>
      <c r="C322"/>
      <c r="D322"/>
      <c r="J322" s="1"/>
      <c r="K322" s="1"/>
      <c r="Q322" s="1"/>
      <c r="R322" s="1"/>
    </row>
    <row r="323" spans="2:18" ht="12.75" customHeight="1" x14ac:dyDescent="0.25">
      <c r="B323"/>
      <c r="C323"/>
      <c r="D323"/>
      <c r="J323" s="1"/>
      <c r="K323" s="1"/>
      <c r="Q323" s="1"/>
      <c r="R323" s="1"/>
    </row>
    <row r="324" spans="2:18" ht="12.75" customHeight="1" x14ac:dyDescent="0.25">
      <c r="B324"/>
      <c r="C324"/>
      <c r="D324"/>
      <c r="J324" s="1"/>
      <c r="K324" s="1"/>
      <c r="Q324" s="1"/>
      <c r="R324" s="1"/>
    </row>
    <row r="325" spans="2:18" ht="12.75" customHeight="1" x14ac:dyDescent="0.25">
      <c r="B325"/>
      <c r="C325"/>
      <c r="D325"/>
      <c r="J325" s="1"/>
      <c r="K325" s="1"/>
      <c r="Q325" s="1"/>
      <c r="R325" s="1"/>
    </row>
    <row r="326" spans="2:18" ht="12.75" customHeight="1" x14ac:dyDescent="0.25">
      <c r="B326"/>
      <c r="C326"/>
      <c r="D326"/>
      <c r="J326" s="1"/>
      <c r="K326" s="1"/>
      <c r="Q326" s="1"/>
      <c r="R326" s="1"/>
    </row>
    <row r="327" spans="2:18" ht="12.75" customHeight="1" x14ac:dyDescent="0.25">
      <c r="B327"/>
      <c r="C327"/>
      <c r="D327"/>
      <c r="J327" s="1"/>
      <c r="K327" s="1"/>
      <c r="Q327" s="1"/>
      <c r="R327" s="1"/>
    </row>
    <row r="328" spans="2:18" ht="12.75" customHeight="1" x14ac:dyDescent="0.25">
      <c r="B328"/>
      <c r="C328"/>
      <c r="D328"/>
      <c r="J328" s="1"/>
      <c r="K328" s="1"/>
      <c r="Q328" s="1"/>
      <c r="R328" s="1"/>
    </row>
    <row r="329" spans="2:18" ht="12.75" customHeight="1" x14ac:dyDescent="0.25">
      <c r="B329"/>
      <c r="C329"/>
      <c r="D329"/>
      <c r="J329" s="1"/>
      <c r="K329" s="1"/>
      <c r="Q329" s="1"/>
      <c r="R329" s="1"/>
    </row>
    <row r="330" spans="2:18" ht="12.75" customHeight="1" x14ac:dyDescent="0.25">
      <c r="B330"/>
      <c r="C330"/>
      <c r="D330"/>
      <c r="J330" s="1"/>
      <c r="K330" s="1"/>
      <c r="Q330" s="1"/>
      <c r="R330" s="1"/>
    </row>
    <row r="331" spans="2:18" ht="12.75" customHeight="1" x14ac:dyDescent="0.25">
      <c r="B331"/>
      <c r="C331"/>
      <c r="D331"/>
      <c r="J331" s="1"/>
      <c r="K331" s="1"/>
      <c r="Q331" s="1"/>
      <c r="R331" s="1"/>
    </row>
    <row r="332" spans="2:18" ht="12.75" customHeight="1" x14ac:dyDescent="0.25">
      <c r="B332"/>
      <c r="C332"/>
      <c r="D332"/>
      <c r="J332" s="1"/>
      <c r="K332" s="1"/>
      <c r="Q332" s="1"/>
      <c r="R332" s="1"/>
    </row>
    <row r="333" spans="2:18" ht="12.75" customHeight="1" x14ac:dyDescent="0.25">
      <c r="B333"/>
      <c r="C333"/>
      <c r="D333"/>
      <c r="J333" s="1"/>
      <c r="K333" s="1"/>
      <c r="Q333" s="1"/>
      <c r="R333" s="1"/>
    </row>
    <row r="334" spans="2:18" ht="12.75" customHeight="1" x14ac:dyDescent="0.25">
      <c r="B334"/>
      <c r="C334"/>
      <c r="D334"/>
      <c r="J334" s="1"/>
      <c r="K334" s="1"/>
      <c r="Q334" s="1"/>
      <c r="R334" s="1"/>
    </row>
    <row r="335" spans="2:18" ht="12.75" customHeight="1" x14ac:dyDescent="0.25">
      <c r="B335"/>
      <c r="C335"/>
      <c r="D335"/>
      <c r="J335" s="1"/>
      <c r="K335" s="1"/>
      <c r="Q335" s="1"/>
      <c r="R335" s="1"/>
    </row>
    <row r="336" spans="2:18" ht="12.75" customHeight="1" x14ac:dyDescent="0.25">
      <c r="B336"/>
      <c r="C336"/>
      <c r="D336"/>
      <c r="J336" s="1"/>
      <c r="K336" s="1"/>
      <c r="Q336" s="1"/>
      <c r="R336" s="1"/>
    </row>
    <row r="337" spans="2:18" ht="12.75" customHeight="1" x14ac:dyDescent="0.25">
      <c r="B337"/>
      <c r="C337"/>
      <c r="D337"/>
      <c r="J337" s="1"/>
      <c r="K337" s="1"/>
      <c r="Q337" s="1"/>
      <c r="R337" s="1"/>
    </row>
    <row r="338" spans="2:18" ht="12.75" customHeight="1" x14ac:dyDescent="0.25">
      <c r="B338"/>
      <c r="C338"/>
      <c r="D338"/>
      <c r="J338" s="1"/>
      <c r="K338" s="1"/>
      <c r="Q338" s="1"/>
      <c r="R338" s="1"/>
    </row>
    <row r="339" spans="2:18" ht="12.75" customHeight="1" x14ac:dyDescent="0.25">
      <c r="B339"/>
      <c r="C339"/>
      <c r="D339"/>
      <c r="J339" s="1"/>
      <c r="K339" s="1"/>
      <c r="Q339" s="1"/>
      <c r="R339" s="1"/>
    </row>
    <row r="340" spans="2:18" ht="12.75" customHeight="1" x14ac:dyDescent="0.25">
      <c r="B340"/>
      <c r="C340"/>
      <c r="D340"/>
      <c r="J340" s="1"/>
      <c r="K340" s="1"/>
      <c r="Q340" s="1"/>
      <c r="R340" s="1"/>
    </row>
  </sheetData>
  <autoFilter ref="B8:G14"/>
  <mergeCells count="8">
    <mergeCell ref="G5:H5"/>
    <mergeCell ref="J5:K5"/>
    <mergeCell ref="N5:O5"/>
    <mergeCell ref="Q5:R5"/>
    <mergeCell ref="G30:H30"/>
    <mergeCell ref="J30:K30"/>
    <mergeCell ref="N30:O30"/>
    <mergeCell ref="Q30:R30"/>
  </mergeCells>
  <conditionalFormatting sqref="R34:R50 K34:K50 K9:K23 R9:R23">
    <cfRule type="cellIs" dxfId="29" priority="1" operator="equal">
      <formula>""""""</formula>
    </cfRule>
    <cfRule type="cellIs" dxfId="28" priority="2" operator="equal">
      <formula>0</formula>
    </cfRule>
    <cfRule type="cellIs" dxfId="27" priority="3" operator="lessThan">
      <formula>0</formula>
    </cfRule>
    <cfRule type="cellIs" dxfId="26" priority="4" operator="greaterThan">
      <formula>0</formula>
    </cfRule>
  </conditionalFormatting>
  <dataValidations count="1">
    <dataValidation type="list" allowBlank="1" showInputMessage="1" showErrorMessage="1" sqref="C34:C51 F37 C9:C24">
      <formula1>"Entrée,Sortie"</formula1>
    </dataValidation>
  </dataValidations>
  <hyperlinks>
    <hyperlink ref="R1" location="Accueil!A1" tooltip="Menu" display="Menu"/>
  </hyperlinks>
  <pageMargins left="0.23622047244094491" right="0.23622047244094491" top="0.74803149606299213" bottom="0.74803149606299213" header="0.31496062992125984" footer="0.31496062992125984"/>
  <pageSetup scale="70" fitToHeight="0" orientation="landscape" r:id="rId1"/>
  <headerFooter>
    <oddFooter>&amp;L&amp;F / &amp;A&amp;C&amp;P/&amp;N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V265"/>
  <sheetViews>
    <sheetView showGridLines="0" zoomScale="60" zoomScaleNormal="60" workbookViewId="0">
      <selection activeCell="E11" sqref="E11"/>
    </sheetView>
  </sheetViews>
  <sheetFormatPr baseColWidth="10" defaultColWidth="12.5546875" defaultRowHeight="13.2" outlineLevelRow="1" x14ac:dyDescent="0.25"/>
  <cols>
    <col min="1" max="1" width="2.109375" customWidth="1"/>
    <col min="2" max="2" width="12.88671875" style="9" customWidth="1"/>
    <col min="3" max="3" width="26.88671875" customWidth="1"/>
    <col min="4" max="4" width="18.33203125" customWidth="1"/>
    <col min="5" max="7" width="13.88671875" customWidth="1"/>
    <col min="8" max="8" width="11.5546875" customWidth="1"/>
    <col min="9" max="9" width="0.88671875" customWidth="1"/>
    <col min="10" max="10" width="10.44140625" customWidth="1"/>
    <col min="11" max="11" width="9.6640625" customWidth="1"/>
    <col min="12" max="12" width="1.109375" customWidth="1"/>
    <col min="13" max="13" width="3.5546875" customWidth="1"/>
    <col min="14" max="14" width="13.88671875" customWidth="1"/>
    <col min="15" max="15" width="9.5546875" customWidth="1"/>
    <col min="16" max="16" width="13.88671875" customWidth="1"/>
    <col min="17" max="17" width="11.5546875" customWidth="1"/>
    <col min="18" max="18" width="0.88671875" customWidth="1"/>
    <col min="19" max="19" width="9.88671875" customWidth="1"/>
    <col min="20" max="20" width="9.6640625" customWidth="1"/>
    <col min="21" max="21" width="0.6640625" customWidth="1"/>
    <col min="22" max="22" width="44.88671875" style="194" hidden="1" customWidth="1"/>
    <col min="23" max="29" width="10" customWidth="1"/>
  </cols>
  <sheetData>
    <row r="1" spans="2:22" ht="12.75" customHeight="1" x14ac:dyDescent="0.25">
      <c r="B1" s="8" t="s">
        <v>22</v>
      </c>
      <c r="T1" s="193" t="s">
        <v>36</v>
      </c>
    </row>
    <row r="2" spans="2:22" ht="12.75" customHeight="1" x14ac:dyDescent="0.25">
      <c r="S2" s="195" t="s">
        <v>52</v>
      </c>
      <c r="T2" s="196">
        <v>2025</v>
      </c>
    </row>
    <row r="3" spans="2:22" ht="23.25" customHeight="1" x14ac:dyDescent="0.4">
      <c r="B3" s="14" t="s">
        <v>6</v>
      </c>
      <c r="E3" s="36" t="s">
        <v>73</v>
      </c>
      <c r="F3" s="36"/>
      <c r="G3" s="36"/>
      <c r="J3" s="1"/>
      <c r="K3" s="1"/>
      <c r="N3" s="36"/>
      <c r="O3" s="36"/>
      <c r="P3" s="36"/>
      <c r="S3" s="195" t="s">
        <v>53</v>
      </c>
      <c r="T3" s="1" t="s">
        <v>70</v>
      </c>
    </row>
    <row r="4" spans="2:22" ht="12.75" customHeight="1" x14ac:dyDescent="0.25">
      <c r="J4" s="1"/>
      <c r="K4" s="2"/>
      <c r="S4" s="1"/>
      <c r="T4" s="2"/>
    </row>
    <row r="5" spans="2:22" ht="15.75" customHeight="1" x14ac:dyDescent="0.3">
      <c r="B5" s="197" t="s">
        <v>54</v>
      </c>
      <c r="C5" s="192"/>
      <c r="D5" s="75"/>
      <c r="E5" s="308"/>
      <c r="F5" s="309"/>
      <c r="G5" s="308" t="s">
        <v>16</v>
      </c>
      <c r="H5" s="309"/>
      <c r="I5" s="76"/>
      <c r="J5" s="310" t="s">
        <v>0</v>
      </c>
      <c r="K5" s="311"/>
      <c r="L5" s="77"/>
      <c r="M5" s="77"/>
      <c r="N5" s="77"/>
      <c r="O5" s="308" t="s">
        <v>17</v>
      </c>
      <c r="P5" s="321"/>
      <c r="Q5" s="309"/>
      <c r="R5" s="76"/>
      <c r="S5" s="310" t="s">
        <v>0</v>
      </c>
      <c r="T5" s="311"/>
    </row>
    <row r="6" spans="2:22" ht="22.5" customHeight="1" x14ac:dyDescent="0.25">
      <c r="B6" s="46" t="s">
        <v>1</v>
      </c>
      <c r="C6" s="48" t="s">
        <v>55</v>
      </c>
      <c r="D6" s="198" t="s">
        <v>42</v>
      </c>
      <c r="E6" s="199" t="s">
        <v>56</v>
      </c>
      <c r="F6" s="200" t="s">
        <v>57</v>
      </c>
      <c r="G6" s="200" t="s">
        <v>58</v>
      </c>
      <c r="H6" s="199" t="s">
        <v>13</v>
      </c>
      <c r="I6" s="23"/>
      <c r="J6" s="201" t="s">
        <v>0</v>
      </c>
      <c r="K6" s="84" t="s">
        <v>3</v>
      </c>
      <c r="N6" s="199" t="s">
        <v>56</v>
      </c>
      <c r="O6" s="200" t="s">
        <v>57</v>
      </c>
      <c r="P6" s="200" t="s">
        <v>58</v>
      </c>
      <c r="Q6" s="7" t="s">
        <v>13</v>
      </c>
      <c r="R6" s="23"/>
      <c r="S6" s="201" t="s">
        <v>0</v>
      </c>
      <c r="T6" s="84" t="s">
        <v>3</v>
      </c>
      <c r="V6" s="202" t="s">
        <v>59</v>
      </c>
    </row>
    <row r="7" spans="2:22" ht="4.5" customHeight="1" x14ac:dyDescent="0.25">
      <c r="D7" s="23"/>
      <c r="E7" s="54"/>
      <c r="F7" s="54"/>
      <c r="G7" s="54"/>
      <c r="H7" s="23"/>
      <c r="I7" s="23"/>
      <c r="J7" s="55"/>
      <c r="K7" s="25"/>
      <c r="N7" s="54"/>
      <c r="O7" s="54"/>
      <c r="P7" s="54"/>
      <c r="Q7" s="23"/>
      <c r="R7" s="23"/>
      <c r="S7" s="55"/>
      <c r="T7" s="25"/>
    </row>
    <row r="8" spans="2:22" ht="12.75" customHeight="1" outlineLevel="1" x14ac:dyDescent="0.25">
      <c r="B8" s="112"/>
      <c r="C8" s="37"/>
      <c r="D8" s="51"/>
      <c r="E8" s="203"/>
      <c r="F8" s="58"/>
      <c r="G8" s="58"/>
      <c r="H8" s="18"/>
      <c r="I8" s="19"/>
      <c r="J8" s="204"/>
      <c r="K8" s="21" t="str">
        <f>IF(J8="","",J8-H8)</f>
        <v/>
      </c>
      <c r="N8" s="203"/>
      <c r="O8" s="58"/>
      <c r="P8" s="58"/>
      <c r="Q8" s="18"/>
      <c r="R8" s="19"/>
      <c r="S8" s="204"/>
      <c r="T8" s="21" t="str">
        <f>IF(S8="","",S8-Q8)</f>
        <v/>
      </c>
      <c r="V8" s="205"/>
    </row>
    <row r="9" spans="2:22" ht="22.2" customHeight="1" outlineLevel="1" x14ac:dyDescent="0.3">
      <c r="B9" s="22">
        <v>45839</v>
      </c>
      <c r="C9" s="206" t="s">
        <v>60</v>
      </c>
      <c r="D9" s="207"/>
      <c r="E9" s="208">
        <v>0</v>
      </c>
      <c r="F9" s="209"/>
      <c r="G9" s="209"/>
      <c r="H9" s="210">
        <f>+E9+F9-G9</f>
        <v>0</v>
      </c>
      <c r="I9" s="211"/>
      <c r="J9" s="212">
        <v>0</v>
      </c>
      <c r="K9" s="213">
        <f t="shared" ref="K9:K15" si="0">IF(J9="","",J9-H9)</f>
        <v>0</v>
      </c>
      <c r="N9" s="208">
        <v>0</v>
      </c>
      <c r="O9" s="209">
        <f>+'Btles Neuve _ DV'!R22</f>
        <v>0</v>
      </c>
      <c r="P9" s="209">
        <f>+'Btles Neuve _ DV'!R23</f>
        <v>0</v>
      </c>
      <c r="Q9" s="214">
        <f>+N9+O9-P9</f>
        <v>0</v>
      </c>
      <c r="R9" s="23"/>
      <c r="S9" s="212">
        <v>0</v>
      </c>
      <c r="T9" s="215">
        <f t="shared" ref="T9:T15" si="1">IF(S9="","",S9-Q9)</f>
        <v>0</v>
      </c>
      <c r="V9" s="205"/>
    </row>
    <row r="10" spans="2:22" ht="22.2" customHeight="1" outlineLevel="1" x14ac:dyDescent="0.3">
      <c r="B10" s="22"/>
      <c r="C10" s="216" t="s">
        <v>61</v>
      </c>
      <c r="D10" s="217"/>
      <c r="E10" s="218">
        <v>1639</v>
      </c>
      <c r="F10" s="219"/>
      <c r="G10" s="219"/>
      <c r="H10" s="210">
        <f>+E10+F10-G10</f>
        <v>1639</v>
      </c>
      <c r="I10" s="211"/>
      <c r="J10" s="212">
        <v>2339</v>
      </c>
      <c r="K10" s="213">
        <f t="shared" si="0"/>
        <v>700</v>
      </c>
      <c r="N10" s="218">
        <f>'Consigne _ CE'!Q10</f>
        <v>35</v>
      </c>
      <c r="O10" s="219">
        <f>'Consigne _ CE'!R24</f>
        <v>0</v>
      </c>
      <c r="P10" s="219">
        <f>'Consigne _ CE'!R25</f>
        <v>0</v>
      </c>
      <c r="Q10" s="214">
        <f t="shared" ref="Q10:Q13" si="2">+N10+O10-P10</f>
        <v>35</v>
      </c>
      <c r="R10" s="23"/>
      <c r="S10" s="212">
        <v>353</v>
      </c>
      <c r="T10" s="25">
        <f t="shared" si="1"/>
        <v>318</v>
      </c>
      <c r="V10" s="205"/>
    </row>
    <row r="11" spans="2:22" ht="22.2" customHeight="1" outlineLevel="1" x14ac:dyDescent="0.3">
      <c r="B11" s="22"/>
      <c r="C11" s="216" t="s">
        <v>62</v>
      </c>
      <c r="D11" s="217"/>
      <c r="E11" s="218">
        <v>16083</v>
      </c>
      <c r="F11" s="219"/>
      <c r="G11" s="219"/>
      <c r="H11" s="210">
        <f>+E11+F11-G11</f>
        <v>16083</v>
      </c>
      <c r="I11" s="211"/>
      <c r="J11" s="212">
        <v>15945</v>
      </c>
      <c r="K11" s="213">
        <f t="shared" si="0"/>
        <v>-138</v>
      </c>
      <c r="N11" s="218">
        <f>'PARC BOUTEILLES CE (PI &amp; TEMCI)'!Q10</f>
        <v>5267</v>
      </c>
      <c r="O11" s="219">
        <f>'PARC BOUTEILLES CE (PI &amp; TEMCI)'!R25</f>
        <v>0</v>
      </c>
      <c r="P11" s="219">
        <f>'PARC BOUTEILLES CE (PI &amp; TEMCI)'!R26</f>
        <v>70</v>
      </c>
      <c r="Q11" s="214">
        <f t="shared" si="2"/>
        <v>5197</v>
      </c>
      <c r="R11" s="23"/>
      <c r="S11" s="212">
        <v>3992</v>
      </c>
      <c r="T11" s="25">
        <f t="shared" si="1"/>
        <v>-1205</v>
      </c>
      <c r="V11" s="205"/>
    </row>
    <row r="12" spans="2:22" ht="22.2" hidden="1" customHeight="1" outlineLevel="1" x14ac:dyDescent="0.3">
      <c r="B12" s="22"/>
      <c r="C12" s="216" t="s">
        <v>63</v>
      </c>
      <c r="D12" s="217"/>
      <c r="E12" s="218">
        <f>'Btles HS _ DV'!J10</f>
        <v>16301</v>
      </c>
      <c r="F12" s="219">
        <f>'Btles HS _ DV'!G23</f>
        <v>770</v>
      </c>
      <c r="G12" s="219">
        <f>'Btles HS _ DV'!G24</f>
        <v>0</v>
      </c>
      <c r="H12" s="210">
        <f>+E12+F12-G12</f>
        <v>17071</v>
      </c>
      <c r="I12" s="211"/>
      <c r="J12" s="212">
        <v>5205</v>
      </c>
      <c r="K12" s="213">
        <f t="shared" si="0"/>
        <v>-11866</v>
      </c>
      <c r="N12" s="218">
        <f>'Btles HS _ DV'!Q10</f>
        <v>1128</v>
      </c>
      <c r="O12" s="219">
        <f>'Btles HS _ DV'!R23</f>
        <v>70</v>
      </c>
      <c r="P12" s="219">
        <f>'Btles HS _ DV'!R24</f>
        <v>0</v>
      </c>
      <c r="Q12" s="214">
        <f t="shared" si="2"/>
        <v>1198</v>
      </c>
      <c r="R12" s="23"/>
      <c r="S12" s="212">
        <v>315</v>
      </c>
      <c r="T12" s="25">
        <f t="shared" si="1"/>
        <v>-883</v>
      </c>
      <c r="V12" s="205"/>
    </row>
    <row r="13" spans="2:22" ht="22.2" hidden="1" customHeight="1" outlineLevel="1" x14ac:dyDescent="0.3">
      <c r="B13" s="22"/>
      <c r="C13" s="220" t="s">
        <v>64</v>
      </c>
      <c r="D13" s="221"/>
      <c r="E13" s="218">
        <f>'PEINTURE TDS '!J10</f>
        <v>0</v>
      </c>
      <c r="F13" s="219">
        <f>'PEINTURE TDS '!G23</f>
        <v>0</v>
      </c>
      <c r="G13" s="219">
        <f>'PEINTURE TDS '!G24</f>
        <v>0</v>
      </c>
      <c r="H13" s="210">
        <f>+E13+F13-G13</f>
        <v>0</v>
      </c>
      <c r="I13" s="211"/>
      <c r="J13" s="212"/>
      <c r="K13" s="213" t="str">
        <f t="shared" si="0"/>
        <v/>
      </c>
      <c r="N13" s="218">
        <f>'PEINTURE TDS '!Q10</f>
        <v>0</v>
      </c>
      <c r="O13" s="219">
        <f>'PEINTURE TDS '!R23</f>
        <v>0</v>
      </c>
      <c r="P13" s="219">
        <f>'PEINTURE TDS '!R24</f>
        <v>0</v>
      </c>
      <c r="Q13" s="214">
        <f t="shared" si="2"/>
        <v>0</v>
      </c>
      <c r="R13" s="23"/>
      <c r="S13" s="212"/>
      <c r="T13" s="25" t="str">
        <f t="shared" si="1"/>
        <v/>
      </c>
      <c r="V13" s="222"/>
    </row>
    <row r="14" spans="2:22" ht="12.75" customHeight="1" outlineLevel="1" x14ac:dyDescent="0.3">
      <c r="B14" s="22"/>
      <c r="C14" s="223"/>
      <c r="D14" s="224"/>
      <c r="E14" s="225"/>
      <c r="F14" s="226"/>
      <c r="G14" s="226"/>
      <c r="H14" s="210"/>
      <c r="I14" s="211"/>
      <c r="J14" s="212"/>
      <c r="K14" s="213"/>
      <c r="N14" s="225"/>
      <c r="O14" s="249"/>
      <c r="P14" s="249"/>
      <c r="Q14" s="214"/>
      <c r="R14" s="23"/>
      <c r="S14" s="212"/>
      <c r="T14" s="25" t="str">
        <f t="shared" si="1"/>
        <v/>
      </c>
      <c r="V14" s="205"/>
    </row>
    <row r="15" spans="2:22" ht="12.75" customHeight="1" outlineLevel="1" x14ac:dyDescent="0.25">
      <c r="B15" s="26"/>
      <c r="C15" s="39"/>
      <c r="D15" s="53"/>
      <c r="E15" s="227"/>
      <c r="F15" s="60"/>
      <c r="G15" s="60"/>
      <c r="H15" s="60"/>
      <c r="I15" s="30"/>
      <c r="J15" s="228"/>
      <c r="K15" s="32" t="str">
        <f t="shared" si="0"/>
        <v/>
      </c>
      <c r="N15" s="227"/>
      <c r="O15" s="60"/>
      <c r="P15" s="60"/>
      <c r="Q15" s="60"/>
      <c r="R15" s="30"/>
      <c r="S15" s="31"/>
      <c r="T15" s="32" t="str">
        <f t="shared" si="1"/>
        <v/>
      </c>
      <c r="V15" s="229"/>
    </row>
    <row r="16" spans="2:22" ht="7.35" customHeight="1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N16" s="6"/>
      <c r="O16" s="6"/>
      <c r="P16" s="6"/>
      <c r="Q16" s="6"/>
      <c r="R16" s="6"/>
      <c r="S16" s="6"/>
      <c r="T16" s="6"/>
      <c r="U16" s="6"/>
    </row>
    <row r="17" spans="1:22" ht="21" customHeight="1" x14ac:dyDescent="0.25">
      <c r="B17" s="6"/>
      <c r="C17" s="6"/>
      <c r="D17" s="6"/>
      <c r="E17" s="6"/>
      <c r="F17" s="6"/>
      <c r="G17" s="241" t="s">
        <v>71</v>
      </c>
      <c r="H17" s="230">
        <f>+SUM(H8:H15)</f>
        <v>34793</v>
      </c>
      <c r="I17" s="6"/>
      <c r="J17" s="230"/>
      <c r="K17" s="230">
        <f>+SUM(K8:K15)</f>
        <v>-11304</v>
      </c>
      <c r="L17" s="6"/>
      <c r="Q17" s="230">
        <f t="shared" ref="Q17:T17" si="3">+SUM(Q8:Q15)</f>
        <v>6430</v>
      </c>
      <c r="R17" s="6">
        <f t="shared" si="3"/>
        <v>0</v>
      </c>
      <c r="S17" s="230"/>
      <c r="T17" s="230">
        <f t="shared" si="3"/>
        <v>-1770</v>
      </c>
      <c r="U17" s="6"/>
    </row>
    <row r="18" spans="1:22" ht="20.100000000000001" customHeight="1" thickBot="1" x14ac:dyDescent="0.3">
      <c r="A18" s="35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</row>
    <row r="19" spans="1:22" ht="20.100000000000001" customHeight="1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N19" s="6"/>
      <c r="O19" s="6"/>
      <c r="P19" s="6"/>
      <c r="Q19" s="6"/>
      <c r="R19" s="6"/>
      <c r="S19" s="6"/>
      <c r="T19" s="6"/>
      <c r="U19" s="6"/>
    </row>
    <row r="20" spans="1:22" ht="15.6" customHeight="1" x14ac:dyDescent="0.3">
      <c r="B20" s="240" t="s">
        <v>65</v>
      </c>
      <c r="C20" s="78"/>
      <c r="D20" s="78"/>
      <c r="E20" s="78"/>
      <c r="F20" s="78"/>
      <c r="G20" s="312" t="s">
        <v>16</v>
      </c>
      <c r="H20" s="313"/>
      <c r="I20" s="80"/>
      <c r="J20" s="314" t="s">
        <v>0</v>
      </c>
      <c r="K20" s="316"/>
      <c r="L20" s="79"/>
      <c r="M20" s="79"/>
      <c r="N20" s="78"/>
      <c r="O20" s="317" t="s">
        <v>17</v>
      </c>
      <c r="P20" s="322"/>
      <c r="Q20" s="318"/>
      <c r="R20" s="80"/>
      <c r="S20" s="314" t="s">
        <v>0</v>
      </c>
      <c r="T20" s="316"/>
      <c r="U20" s="6"/>
    </row>
    <row r="21" spans="1:22" ht="22.5" customHeight="1" x14ac:dyDescent="0.25">
      <c r="B21" s="46" t="s">
        <v>1</v>
      </c>
      <c r="C21" s="48" t="s">
        <v>55</v>
      </c>
      <c r="D21" s="198" t="s">
        <v>42</v>
      </c>
      <c r="E21" s="199" t="s">
        <v>56</v>
      </c>
      <c r="F21" s="200" t="s">
        <v>57</v>
      </c>
      <c r="G21" s="200" t="s">
        <v>58</v>
      </c>
      <c r="H21" s="199" t="s">
        <v>13</v>
      </c>
      <c r="I21" s="23"/>
      <c r="J21" s="201" t="s">
        <v>0</v>
      </c>
      <c r="K21" s="84" t="s">
        <v>3</v>
      </c>
      <c r="N21" s="199" t="s">
        <v>56</v>
      </c>
      <c r="O21" s="200" t="s">
        <v>57</v>
      </c>
      <c r="P21" s="200" t="s">
        <v>58</v>
      </c>
      <c r="Q21" s="7" t="s">
        <v>13</v>
      </c>
      <c r="R21" s="23"/>
      <c r="S21" s="201" t="s">
        <v>0</v>
      </c>
      <c r="T21" s="84" t="s">
        <v>3</v>
      </c>
      <c r="V21" s="202" t="s">
        <v>59</v>
      </c>
    </row>
    <row r="22" spans="1:22" ht="4.3499999999999996" customHeight="1" x14ac:dyDescent="0.25">
      <c r="J22" s="1"/>
      <c r="K22" s="1"/>
      <c r="S22" s="1"/>
      <c r="T22" s="1"/>
    </row>
    <row r="23" spans="1:22" ht="12.75" customHeight="1" outlineLevel="1" x14ac:dyDescent="0.25">
      <c r="B23" s="112"/>
      <c r="C23" s="37"/>
      <c r="D23" s="51"/>
      <c r="E23" s="203"/>
      <c r="F23" s="58"/>
      <c r="G23" s="58"/>
      <c r="H23" s="18"/>
      <c r="I23" s="19"/>
      <c r="J23" s="231"/>
      <c r="K23" s="21" t="str">
        <f>IF(J23="","",J23-H23)</f>
        <v/>
      </c>
      <c r="N23" s="203"/>
      <c r="O23" s="58"/>
      <c r="P23" s="58"/>
      <c r="Q23" s="18"/>
      <c r="R23" s="19"/>
      <c r="S23" s="20"/>
      <c r="T23" s="21" t="str">
        <f>IF(S23="","",S23-Q23)</f>
        <v/>
      </c>
      <c r="V23" s="205"/>
    </row>
    <row r="24" spans="1:22" ht="22.2" customHeight="1" outlineLevel="1" x14ac:dyDescent="0.3">
      <c r="B24" s="22">
        <v>45839</v>
      </c>
      <c r="C24" s="206" t="s">
        <v>60</v>
      </c>
      <c r="D24" s="207"/>
      <c r="E24" s="208">
        <f>+'Btles Neuve _ DV'!J32</f>
        <v>24687</v>
      </c>
      <c r="F24" s="209">
        <f>+'Btles Neuve _ DV'!G42</f>
        <v>0</v>
      </c>
      <c r="G24" s="209">
        <f>+'Btles Neuve _ DV'!G43</f>
        <v>0</v>
      </c>
      <c r="H24" s="214">
        <f>+E24+F24-G24</f>
        <v>24687</v>
      </c>
      <c r="I24" s="233"/>
      <c r="J24" s="234">
        <v>23671</v>
      </c>
      <c r="K24" s="213">
        <f t="shared" ref="K24:K30" si="4">IF(J24="","",J24-H24)</f>
        <v>-1016</v>
      </c>
      <c r="N24" s="208">
        <f>+'Btles Neuve _ DV'!Q32</f>
        <v>2161</v>
      </c>
      <c r="O24" s="209">
        <f>+'Btles Neuve _ DV'!R42</f>
        <v>0</v>
      </c>
      <c r="P24" s="209">
        <f>+'Btles Neuve _ DV'!R43</f>
        <v>0</v>
      </c>
      <c r="Q24" s="214">
        <f t="shared" ref="Q24:Q28" si="5">+N24+O24-P24</f>
        <v>2161</v>
      </c>
      <c r="R24" s="23"/>
      <c r="S24" s="24">
        <v>505</v>
      </c>
      <c r="T24" s="25">
        <f t="shared" ref="T24:T29" si="6">IF(S24="","",S24-Q24)</f>
        <v>-1656</v>
      </c>
      <c r="V24" s="205"/>
    </row>
    <row r="25" spans="1:22" ht="22.2" customHeight="1" outlineLevel="1" x14ac:dyDescent="0.3">
      <c r="B25" s="22"/>
      <c r="C25" s="216" t="s">
        <v>61</v>
      </c>
      <c r="D25" s="217"/>
      <c r="E25" s="218">
        <f>'Consigne _ CE'!J34</f>
        <v>1260</v>
      </c>
      <c r="F25" s="219">
        <f>'Consigne _ CE'!G46</f>
        <v>0</v>
      </c>
      <c r="G25" s="219">
        <f>'Consigne _ CE'!G47</f>
        <v>105</v>
      </c>
      <c r="H25" s="214">
        <f t="shared" ref="H25:H28" si="7">+E25+F25-G25</f>
        <v>1155</v>
      </c>
      <c r="I25" s="233"/>
      <c r="J25" s="234">
        <v>910</v>
      </c>
      <c r="K25" s="213">
        <f t="shared" si="4"/>
        <v>-245</v>
      </c>
      <c r="N25" s="218">
        <f>'Consigne _ CE'!Q34</f>
        <v>315</v>
      </c>
      <c r="O25" s="219">
        <f>'Consigne _ CE'!R46</f>
        <v>0</v>
      </c>
      <c r="P25" s="219">
        <f>'Consigne _ CE'!R47</f>
        <v>0</v>
      </c>
      <c r="Q25" s="214">
        <f t="shared" si="5"/>
        <v>315</v>
      </c>
      <c r="R25" s="23"/>
      <c r="S25" s="24">
        <v>210</v>
      </c>
      <c r="T25" s="25">
        <f t="shared" si="6"/>
        <v>-105</v>
      </c>
      <c r="V25" s="205"/>
    </row>
    <row r="26" spans="1:22" ht="22.2" customHeight="1" outlineLevel="1" x14ac:dyDescent="0.3">
      <c r="B26" s="22"/>
      <c r="C26" s="216" t="s">
        <v>62</v>
      </c>
      <c r="D26" s="217"/>
      <c r="E26" s="218">
        <f>'PARC BOUTEILLES CE (PI &amp; TEMCI)'!J35</f>
        <v>9759</v>
      </c>
      <c r="F26" s="219">
        <f>'PARC BOUTEILLES CE (PI &amp; TEMCI)'!G52</f>
        <v>0</v>
      </c>
      <c r="G26" s="219">
        <f>'PARC BOUTEILLES CE (PI &amp; TEMCI)'!G53</f>
        <v>266</v>
      </c>
      <c r="H26" s="214">
        <f t="shared" si="7"/>
        <v>9493</v>
      </c>
      <c r="I26" s="233"/>
      <c r="J26" s="234">
        <v>14108</v>
      </c>
      <c r="K26" s="213">
        <f t="shared" si="4"/>
        <v>4615</v>
      </c>
      <c r="N26" s="218">
        <f>'PARC BOUTEILLES CE (PI &amp; TEMCI)'!Q35</f>
        <v>2111</v>
      </c>
      <c r="O26" s="219">
        <f>'PARC BOUTEILLES CE (PI &amp; TEMCI)'!R52</f>
        <v>0</v>
      </c>
      <c r="P26" s="219">
        <f>'PARC BOUTEILLES CE (PI &amp; TEMCI)'!R53</f>
        <v>252</v>
      </c>
      <c r="Q26" s="214">
        <f t="shared" si="5"/>
        <v>1859</v>
      </c>
      <c r="R26" s="23"/>
      <c r="S26" s="24">
        <v>5538</v>
      </c>
      <c r="T26" s="25">
        <f t="shared" si="6"/>
        <v>3679</v>
      </c>
      <c r="V26" s="205"/>
    </row>
    <row r="27" spans="1:22" ht="22.2" customHeight="1" outlineLevel="1" x14ac:dyDescent="0.3">
      <c r="B27" s="22"/>
      <c r="C27" s="216" t="s">
        <v>63</v>
      </c>
      <c r="D27" s="217"/>
      <c r="E27" s="218">
        <f>'Btles HS _ DV'!J33</f>
        <v>1708</v>
      </c>
      <c r="F27" s="219">
        <f>'Btles HS _ DV'!G44</f>
        <v>266</v>
      </c>
      <c r="G27" s="219">
        <f>'Btles HS _ DV'!G45</f>
        <v>0</v>
      </c>
      <c r="H27" s="214">
        <f t="shared" si="7"/>
        <v>1974</v>
      </c>
      <c r="I27" s="233"/>
      <c r="J27" s="234">
        <v>894</v>
      </c>
      <c r="K27" s="213">
        <f t="shared" si="4"/>
        <v>-1080</v>
      </c>
      <c r="N27" s="218">
        <f>'Btles HS _ DV'!Q33</f>
        <v>925</v>
      </c>
      <c r="O27" s="219">
        <f>'Btles HS _ DV'!R44</f>
        <v>252</v>
      </c>
      <c r="P27" s="219">
        <f>'Btles HS _ DV'!R45</f>
        <v>0</v>
      </c>
      <c r="Q27" s="214">
        <f t="shared" si="5"/>
        <v>1177</v>
      </c>
      <c r="R27" s="23"/>
      <c r="S27" s="24">
        <v>389</v>
      </c>
      <c r="T27" s="25">
        <f t="shared" si="6"/>
        <v>-788</v>
      </c>
      <c r="V27" s="205"/>
    </row>
    <row r="28" spans="1:22" ht="22.2" hidden="1" customHeight="1" outlineLevel="1" x14ac:dyDescent="0.3">
      <c r="B28" s="22"/>
      <c r="C28" s="220" t="s">
        <v>64</v>
      </c>
      <c r="D28" s="221"/>
      <c r="E28" s="218">
        <f>'PEINTURE TDS '!J33</f>
        <v>0</v>
      </c>
      <c r="F28" s="219">
        <f>'PEINTURE TDS '!G47</f>
        <v>0</v>
      </c>
      <c r="G28" s="219">
        <f>'PEINTURE TDS '!G48</f>
        <v>0</v>
      </c>
      <c r="H28" s="214">
        <f t="shared" si="7"/>
        <v>0</v>
      </c>
      <c r="I28" s="233"/>
      <c r="J28" s="234"/>
      <c r="K28" s="213" t="str">
        <f t="shared" si="4"/>
        <v/>
      </c>
      <c r="N28" s="218">
        <f>'PEINTURE TDS '!Q33</f>
        <v>0</v>
      </c>
      <c r="O28" s="219">
        <f>'PEINTURE TDS '!R47</f>
        <v>0</v>
      </c>
      <c r="P28" s="219">
        <f>'PEINTURE TDS '!R48</f>
        <v>0</v>
      </c>
      <c r="Q28" s="214">
        <f t="shared" si="5"/>
        <v>0</v>
      </c>
      <c r="R28" s="23"/>
      <c r="S28" s="24"/>
      <c r="T28" s="25" t="str">
        <f t="shared" si="6"/>
        <v/>
      </c>
      <c r="V28" s="222"/>
    </row>
    <row r="29" spans="1:22" ht="12.75" customHeight="1" outlineLevel="1" x14ac:dyDescent="0.3">
      <c r="B29" s="22"/>
      <c r="C29" s="223"/>
      <c r="D29" s="224"/>
      <c r="E29" s="225"/>
      <c r="F29" s="249"/>
      <c r="G29" s="249"/>
      <c r="H29" s="214"/>
      <c r="I29" s="233"/>
      <c r="J29" s="234"/>
      <c r="K29" s="213" t="str">
        <f t="shared" si="4"/>
        <v/>
      </c>
      <c r="N29" s="225"/>
      <c r="O29" s="249"/>
      <c r="P29" s="249"/>
      <c r="Q29" s="13"/>
      <c r="R29" s="23"/>
      <c r="S29" s="24"/>
      <c r="T29" s="25" t="str">
        <f t="shared" si="6"/>
        <v/>
      </c>
      <c r="V29" s="205"/>
    </row>
    <row r="30" spans="1:22" ht="12.75" customHeight="1" outlineLevel="1" x14ac:dyDescent="0.25">
      <c r="B30" s="26"/>
      <c r="C30" s="39"/>
      <c r="D30" s="53"/>
      <c r="E30" s="227"/>
      <c r="F30" s="60"/>
      <c r="G30" s="60"/>
      <c r="H30" s="60"/>
      <c r="I30" s="60"/>
      <c r="J30" s="228"/>
      <c r="K30" s="32" t="str">
        <f t="shared" si="4"/>
        <v/>
      </c>
      <c r="N30" s="227"/>
      <c r="O30" s="60"/>
      <c r="P30" s="60"/>
      <c r="Q30" s="60"/>
      <c r="R30" s="30"/>
      <c r="S30" s="31"/>
      <c r="T30" s="32" t="str">
        <f>IF(S30="","",S30-Q30)</f>
        <v/>
      </c>
      <c r="V30" s="229"/>
    </row>
    <row r="31" spans="1:22" ht="6.6" customHeight="1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N31" s="6"/>
      <c r="O31" s="6"/>
      <c r="P31" s="6"/>
      <c r="Q31" s="6"/>
      <c r="R31" s="6"/>
      <c r="S31" s="6"/>
      <c r="T31" s="6"/>
    </row>
    <row r="32" spans="1:22" ht="21" customHeight="1" x14ac:dyDescent="0.25">
      <c r="B32" s="6"/>
      <c r="C32" s="6"/>
      <c r="D32" s="6"/>
      <c r="E32" s="6"/>
      <c r="F32" s="6"/>
      <c r="G32" s="241" t="s">
        <v>71</v>
      </c>
      <c r="H32" s="230">
        <f>+SUM(H23:H30)</f>
        <v>37309</v>
      </c>
      <c r="I32" s="6"/>
      <c r="J32" s="230"/>
      <c r="K32" s="230">
        <f>+SUM(K23:K30)</f>
        <v>2274</v>
      </c>
      <c r="L32" s="6"/>
      <c r="Q32" s="230">
        <f t="shared" ref="Q32:T32" si="8">+SUM(Q23:Q30)</f>
        <v>5512</v>
      </c>
      <c r="R32" s="6">
        <f t="shared" si="8"/>
        <v>0</v>
      </c>
      <c r="S32" s="230"/>
      <c r="T32" s="230">
        <f t="shared" si="8"/>
        <v>1130</v>
      </c>
      <c r="U32" s="6"/>
    </row>
    <row r="33" spans="1:22" ht="20.100000000000001" customHeight="1" thickBot="1" x14ac:dyDescent="0.3">
      <c r="A33" s="35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</row>
    <row r="34" spans="1:22" ht="20.100000000000001" customHeight="1" x14ac:dyDescent="0.25">
      <c r="J34" s="1"/>
      <c r="K34" s="1"/>
      <c r="S34" s="1"/>
      <c r="T34" s="1"/>
    </row>
    <row r="35" spans="1:22" ht="12.75" customHeight="1" x14ac:dyDescent="0.3">
      <c r="B35" s="242" t="s">
        <v>66</v>
      </c>
      <c r="C35" s="237"/>
      <c r="D35" s="237"/>
      <c r="E35" s="237"/>
      <c r="F35" s="237"/>
      <c r="G35" s="302" t="s">
        <v>16</v>
      </c>
      <c r="H35" s="303"/>
      <c r="I35" s="238"/>
      <c r="J35" s="304" t="s">
        <v>0</v>
      </c>
      <c r="K35" s="319"/>
      <c r="L35" s="239"/>
      <c r="M35" s="239"/>
      <c r="N35" s="237"/>
      <c r="O35" s="302" t="s">
        <v>17</v>
      </c>
      <c r="P35" s="320"/>
      <c r="Q35" s="303"/>
      <c r="R35" s="238"/>
      <c r="S35" s="304" t="s">
        <v>0</v>
      </c>
      <c r="T35" s="319"/>
    </row>
    <row r="36" spans="1:22" ht="24.75" customHeight="1" x14ac:dyDescent="0.25">
      <c r="B36" s="46" t="s">
        <v>1</v>
      </c>
      <c r="C36" s="48" t="s">
        <v>55</v>
      </c>
      <c r="D36" s="198" t="s">
        <v>42</v>
      </c>
      <c r="E36" s="199" t="s">
        <v>56</v>
      </c>
      <c r="F36" s="200" t="s">
        <v>57</v>
      </c>
      <c r="G36" s="200" t="s">
        <v>58</v>
      </c>
      <c r="H36" s="199" t="s">
        <v>13</v>
      </c>
      <c r="I36" s="23"/>
      <c r="J36" s="201" t="s">
        <v>0</v>
      </c>
      <c r="K36" s="84" t="s">
        <v>3</v>
      </c>
      <c r="N36" s="199" t="s">
        <v>56</v>
      </c>
      <c r="O36" s="200" t="s">
        <v>57</v>
      </c>
      <c r="P36" s="200" t="s">
        <v>58</v>
      </c>
      <c r="Q36" s="7" t="s">
        <v>13</v>
      </c>
      <c r="R36" s="23"/>
      <c r="S36" s="201" t="s">
        <v>0</v>
      </c>
      <c r="T36" s="84" t="s">
        <v>3</v>
      </c>
      <c r="V36" s="202" t="s">
        <v>59</v>
      </c>
    </row>
    <row r="37" spans="1:22" ht="3.75" customHeight="1" x14ac:dyDescent="0.25">
      <c r="J37" s="1"/>
      <c r="K37" s="1"/>
      <c r="S37" s="1"/>
      <c r="T37" s="1"/>
    </row>
    <row r="38" spans="1:22" ht="12.75" customHeight="1" x14ac:dyDescent="0.25">
      <c r="B38" s="112"/>
      <c r="C38" s="37"/>
      <c r="D38" s="51"/>
      <c r="E38" s="203"/>
      <c r="F38" s="58"/>
      <c r="G38" s="58"/>
      <c r="H38" s="18"/>
      <c r="I38" s="19"/>
      <c r="J38" s="231"/>
      <c r="K38" s="21" t="str">
        <f>IF(J38="","",J38-H38)</f>
        <v/>
      </c>
      <c r="N38" s="203"/>
      <c r="O38" s="58"/>
      <c r="P38" s="58"/>
      <c r="Q38" s="18"/>
      <c r="R38" s="19"/>
      <c r="S38" s="20"/>
      <c r="T38" s="21" t="str">
        <f>IF(S38="","",S38-Q38)</f>
        <v/>
      </c>
      <c r="V38" s="205"/>
    </row>
    <row r="39" spans="1:22" ht="22.2" customHeight="1" x14ac:dyDescent="0.3">
      <c r="B39" s="22">
        <v>45839</v>
      </c>
      <c r="C39" s="206" t="s">
        <v>60</v>
      </c>
      <c r="D39" s="207"/>
      <c r="E39" s="208">
        <f>+'Btles Neuve _ DV'!J51</f>
        <v>0</v>
      </c>
      <c r="F39" s="232">
        <f>'Btles Neuve _ DV'!G62</f>
        <v>0</v>
      </c>
      <c r="G39" s="232">
        <f>'Btles Neuve _ DV'!G63</f>
        <v>0</v>
      </c>
      <c r="H39" s="214">
        <f t="shared" ref="H39:H44" si="9">+E39+F39-G39</f>
        <v>0</v>
      </c>
      <c r="I39" s="233"/>
      <c r="J39" s="234">
        <v>750</v>
      </c>
      <c r="K39" s="213">
        <f t="shared" ref="K39:K45" si="10">IF(J39="","",J39-H39)</f>
        <v>750</v>
      </c>
      <c r="N39" s="208"/>
      <c r="O39" s="209"/>
      <c r="P39" s="209"/>
      <c r="Q39" s="214">
        <f t="shared" ref="Q39:Q44" si="11">+N39+O39-P39</f>
        <v>0</v>
      </c>
      <c r="R39" s="23"/>
      <c r="S39" s="24"/>
      <c r="T39" s="25" t="str">
        <f t="shared" ref="T39:T44" si="12">IF(S39="","",S39-Q39)</f>
        <v/>
      </c>
      <c r="V39" s="205"/>
    </row>
    <row r="40" spans="1:22" ht="22.2" hidden="1" customHeight="1" x14ac:dyDescent="0.3">
      <c r="B40" s="22"/>
      <c r="C40" s="216" t="s">
        <v>61</v>
      </c>
      <c r="D40" s="217"/>
      <c r="E40" s="218"/>
      <c r="F40" s="235"/>
      <c r="G40" s="235"/>
      <c r="H40" s="214">
        <f t="shared" si="9"/>
        <v>0</v>
      </c>
      <c r="I40" s="233"/>
      <c r="J40" s="234"/>
      <c r="K40" s="213" t="str">
        <f t="shared" si="10"/>
        <v/>
      </c>
      <c r="N40" s="218"/>
      <c r="O40" s="219"/>
      <c r="P40" s="219"/>
      <c r="Q40" s="214">
        <f t="shared" si="11"/>
        <v>0</v>
      </c>
      <c r="R40" s="23"/>
      <c r="S40" s="24"/>
      <c r="T40" s="25" t="str">
        <f t="shared" si="12"/>
        <v/>
      </c>
      <c r="V40" s="205"/>
    </row>
    <row r="41" spans="1:22" ht="22.2" customHeight="1" x14ac:dyDescent="0.3">
      <c r="B41" s="22"/>
      <c r="C41" s="216" t="s">
        <v>62</v>
      </c>
      <c r="D41" s="217"/>
      <c r="E41" s="218">
        <f>'STOCK OUTILS VIVO'!J10</f>
        <v>1103</v>
      </c>
      <c r="F41" s="235">
        <f>'STOCK OUTILS VIVO'!G20</f>
        <v>0</v>
      </c>
      <c r="G41" s="235">
        <f>'STOCK OUTILS VIVO'!G21</f>
        <v>0</v>
      </c>
      <c r="H41" s="214">
        <f t="shared" si="9"/>
        <v>1103</v>
      </c>
      <c r="I41" s="233"/>
      <c r="J41" s="234">
        <v>560</v>
      </c>
      <c r="K41" s="213">
        <f t="shared" si="10"/>
        <v>-543</v>
      </c>
      <c r="N41" s="218">
        <f>'STOCK OUTILS VIVO'!Q10</f>
        <v>34</v>
      </c>
      <c r="O41" s="219">
        <f>'STOCK OUTILS VIVO'!R20</f>
        <v>0</v>
      </c>
      <c r="P41" s="219">
        <f>'STOCK OUTILS VIVO'!R21</f>
        <v>0</v>
      </c>
      <c r="Q41" s="214">
        <f t="shared" si="11"/>
        <v>34</v>
      </c>
      <c r="R41" s="23"/>
      <c r="S41" s="24">
        <v>35</v>
      </c>
      <c r="T41" s="25">
        <f t="shared" si="12"/>
        <v>1</v>
      </c>
      <c r="V41" s="205" t="s">
        <v>67</v>
      </c>
    </row>
    <row r="42" spans="1:22" ht="22.2" hidden="1" customHeight="1" x14ac:dyDescent="0.3">
      <c r="B42" s="22"/>
      <c r="C42" s="216" t="s">
        <v>63</v>
      </c>
      <c r="D42" s="217"/>
      <c r="E42" s="218"/>
      <c r="F42" s="235"/>
      <c r="G42" s="235"/>
      <c r="H42" s="214">
        <f t="shared" si="9"/>
        <v>0</v>
      </c>
      <c r="I42" s="233"/>
      <c r="J42" s="234"/>
      <c r="K42" s="213" t="str">
        <f t="shared" si="10"/>
        <v/>
      </c>
      <c r="N42" s="218"/>
      <c r="O42" s="219"/>
      <c r="P42" s="219"/>
      <c r="Q42" s="214">
        <f t="shared" si="11"/>
        <v>0</v>
      </c>
      <c r="R42" s="23"/>
      <c r="S42" s="24"/>
      <c r="T42" s="25" t="str">
        <f t="shared" si="12"/>
        <v/>
      </c>
      <c r="V42" s="205" t="s">
        <v>68</v>
      </c>
    </row>
    <row r="43" spans="1:22" ht="22.2" hidden="1" customHeight="1" x14ac:dyDescent="0.3">
      <c r="B43" s="22"/>
      <c r="C43" s="220" t="s">
        <v>64</v>
      </c>
      <c r="D43" s="221"/>
      <c r="E43" s="218"/>
      <c r="F43" s="235"/>
      <c r="G43" s="235"/>
      <c r="H43" s="214">
        <f t="shared" si="9"/>
        <v>0</v>
      </c>
      <c r="I43" s="233"/>
      <c r="J43" s="234"/>
      <c r="K43" s="213" t="str">
        <f t="shared" si="10"/>
        <v/>
      </c>
      <c r="N43" s="218"/>
      <c r="O43" s="219"/>
      <c r="P43" s="219"/>
      <c r="Q43" s="214">
        <f t="shared" si="11"/>
        <v>0</v>
      </c>
      <c r="R43" s="23"/>
      <c r="S43" s="24"/>
      <c r="T43" s="25" t="str">
        <f t="shared" si="12"/>
        <v/>
      </c>
      <c r="V43" s="222" t="s">
        <v>69</v>
      </c>
    </row>
    <row r="44" spans="1:22" ht="22.2" customHeight="1" x14ac:dyDescent="0.3">
      <c r="B44" s="22"/>
      <c r="C44" s="223"/>
      <c r="D44" s="224"/>
      <c r="E44" s="225"/>
      <c r="F44" s="236"/>
      <c r="G44" s="236"/>
      <c r="H44" s="214">
        <f t="shared" si="9"/>
        <v>0</v>
      </c>
      <c r="I44" s="233"/>
      <c r="J44" s="234"/>
      <c r="K44" s="213" t="str">
        <f t="shared" si="10"/>
        <v/>
      </c>
      <c r="N44" s="225"/>
      <c r="O44" s="249"/>
      <c r="P44" s="249"/>
      <c r="Q44" s="13">
        <f t="shared" si="11"/>
        <v>0</v>
      </c>
      <c r="R44" s="23"/>
      <c r="S44" s="24"/>
      <c r="T44" s="25" t="str">
        <f t="shared" si="12"/>
        <v/>
      </c>
      <c r="V44" s="205"/>
    </row>
    <row r="45" spans="1:22" ht="12.75" customHeight="1" x14ac:dyDescent="0.25">
      <c r="B45" s="26"/>
      <c r="C45" s="39"/>
      <c r="D45" s="53"/>
      <c r="E45" s="227"/>
      <c r="F45" s="60"/>
      <c r="G45" s="60"/>
      <c r="H45" s="60"/>
      <c r="I45" s="30"/>
      <c r="J45" s="228"/>
      <c r="K45" s="32" t="str">
        <f t="shared" si="10"/>
        <v/>
      </c>
      <c r="N45" s="227"/>
      <c r="O45" s="60"/>
      <c r="P45" s="60"/>
      <c r="Q45" s="60"/>
      <c r="R45" s="30"/>
      <c r="S45" s="31"/>
      <c r="T45" s="32" t="str">
        <f>IF(S45="","",S45-Q45)</f>
        <v/>
      </c>
      <c r="V45" s="229"/>
    </row>
    <row r="46" spans="1:22" ht="12.75" customHeight="1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N46" s="6"/>
      <c r="O46" s="6"/>
      <c r="P46" s="6"/>
      <c r="Q46" s="6"/>
      <c r="R46" s="6"/>
      <c r="S46" s="6"/>
      <c r="T46" s="6"/>
    </row>
    <row r="47" spans="1:22" ht="21" customHeight="1" x14ac:dyDescent="0.25">
      <c r="B47" s="6"/>
      <c r="C47" s="6"/>
      <c r="D47" s="6"/>
      <c r="E47" s="6"/>
      <c r="F47" s="6"/>
      <c r="G47" s="241" t="s">
        <v>71</v>
      </c>
      <c r="H47" s="230">
        <f>+SUM(H38:H45)</f>
        <v>1103</v>
      </c>
      <c r="I47" s="6"/>
      <c r="J47" s="230"/>
      <c r="K47" s="230">
        <f>+SUM(K38:K45)</f>
        <v>207</v>
      </c>
      <c r="L47" s="6"/>
      <c r="Q47" s="230">
        <f t="shared" ref="Q47:T47" si="13">+SUM(Q38:Q45)</f>
        <v>34</v>
      </c>
      <c r="R47" s="6">
        <f t="shared" si="13"/>
        <v>0</v>
      </c>
      <c r="S47" s="230"/>
      <c r="T47" s="230">
        <f t="shared" si="13"/>
        <v>1</v>
      </c>
      <c r="U47" s="6"/>
    </row>
    <row r="48" spans="1:22" ht="12.75" customHeight="1" x14ac:dyDescent="0.25">
      <c r="B48" s="85"/>
      <c r="J48" s="1"/>
      <c r="K48" s="1"/>
      <c r="S48" s="1"/>
      <c r="T48" s="1"/>
    </row>
    <row r="49" spans="10:20" ht="12.75" customHeight="1" x14ac:dyDescent="0.25">
      <c r="J49" s="1"/>
      <c r="K49" s="1"/>
      <c r="S49" s="1"/>
      <c r="T49" s="1"/>
    </row>
    <row r="50" spans="10:20" ht="12.75" customHeight="1" x14ac:dyDescent="0.25">
      <c r="J50" s="1"/>
      <c r="K50" s="1"/>
      <c r="S50" s="1"/>
      <c r="T50" s="1"/>
    </row>
    <row r="51" spans="10:20" ht="12.75" customHeight="1" x14ac:dyDescent="0.25">
      <c r="J51" s="1"/>
      <c r="K51" s="1"/>
      <c r="S51" s="1"/>
      <c r="T51" s="1"/>
    </row>
    <row r="52" spans="10:20" ht="12.75" customHeight="1" x14ac:dyDescent="0.25">
      <c r="J52" s="1"/>
      <c r="K52" s="1"/>
      <c r="S52" s="1"/>
      <c r="T52" s="1"/>
    </row>
    <row r="53" spans="10:20" ht="12.75" customHeight="1" x14ac:dyDescent="0.25">
      <c r="J53" s="1"/>
      <c r="K53" s="1"/>
      <c r="S53" s="1"/>
      <c r="T53" s="1"/>
    </row>
    <row r="54" spans="10:20" ht="12.75" customHeight="1" x14ac:dyDescent="0.25">
      <c r="J54" s="1"/>
      <c r="K54" s="1"/>
      <c r="S54" s="1"/>
      <c r="T54" s="1"/>
    </row>
    <row r="55" spans="10:20" ht="12.75" customHeight="1" x14ac:dyDescent="0.25">
      <c r="J55" s="1"/>
      <c r="K55" s="1"/>
      <c r="S55" s="1"/>
      <c r="T55" s="1"/>
    </row>
    <row r="56" spans="10:20" ht="12.75" customHeight="1" x14ac:dyDescent="0.25">
      <c r="J56" s="1"/>
      <c r="K56" s="1"/>
      <c r="S56" s="1"/>
      <c r="T56" s="1"/>
    </row>
    <row r="57" spans="10:20" ht="12.75" customHeight="1" x14ac:dyDescent="0.25">
      <c r="J57" s="1"/>
      <c r="K57" s="1"/>
      <c r="S57" s="1"/>
      <c r="T57" s="1"/>
    </row>
    <row r="58" spans="10:20" ht="12.75" customHeight="1" x14ac:dyDescent="0.25">
      <c r="J58" s="1"/>
      <c r="K58" s="1"/>
      <c r="S58" s="1"/>
      <c r="T58" s="1"/>
    </row>
    <row r="59" spans="10:20" ht="12.75" customHeight="1" x14ac:dyDescent="0.25">
      <c r="J59" s="1"/>
      <c r="K59" s="1"/>
      <c r="S59" s="1"/>
      <c r="T59" s="1"/>
    </row>
    <row r="60" spans="10:20" ht="12.75" customHeight="1" x14ac:dyDescent="0.25">
      <c r="J60" s="1"/>
      <c r="K60" s="1"/>
      <c r="S60" s="1"/>
      <c r="T60" s="1"/>
    </row>
    <row r="61" spans="10:20" ht="12.75" customHeight="1" x14ac:dyDescent="0.25">
      <c r="J61" s="1"/>
      <c r="K61" s="1"/>
      <c r="S61" s="1"/>
      <c r="T61" s="1"/>
    </row>
    <row r="62" spans="10:20" ht="12.75" customHeight="1" x14ac:dyDescent="0.25">
      <c r="J62" s="1"/>
      <c r="K62" s="1"/>
      <c r="S62" s="1"/>
      <c r="T62" s="1"/>
    </row>
    <row r="63" spans="10:20" ht="12.75" customHeight="1" x14ac:dyDescent="0.25">
      <c r="J63" s="1"/>
      <c r="K63" s="1"/>
      <c r="S63" s="1"/>
      <c r="T63" s="1"/>
    </row>
    <row r="64" spans="10:20" ht="12.75" customHeight="1" x14ac:dyDescent="0.25">
      <c r="J64" s="1"/>
      <c r="K64" s="1"/>
      <c r="S64" s="1"/>
      <c r="T64" s="1"/>
    </row>
    <row r="65" spans="10:20" ht="12.75" customHeight="1" x14ac:dyDescent="0.25">
      <c r="J65" s="1"/>
      <c r="K65" s="1"/>
      <c r="S65" s="1"/>
      <c r="T65" s="1"/>
    </row>
    <row r="66" spans="10:20" ht="12.75" customHeight="1" x14ac:dyDescent="0.25">
      <c r="J66" s="1"/>
      <c r="K66" s="1"/>
      <c r="S66" s="1"/>
      <c r="T66" s="1"/>
    </row>
    <row r="67" spans="10:20" ht="12.75" customHeight="1" x14ac:dyDescent="0.25">
      <c r="J67" s="1"/>
      <c r="K67" s="1"/>
      <c r="S67" s="1"/>
      <c r="T67" s="1"/>
    </row>
    <row r="68" spans="10:20" ht="12.75" customHeight="1" x14ac:dyDescent="0.25">
      <c r="J68" s="1"/>
      <c r="K68" s="1"/>
      <c r="S68" s="1"/>
      <c r="T68" s="1"/>
    </row>
    <row r="69" spans="10:20" ht="12.75" customHeight="1" x14ac:dyDescent="0.25">
      <c r="J69" s="1"/>
      <c r="K69" s="1"/>
      <c r="S69" s="1"/>
      <c r="T69" s="1"/>
    </row>
    <row r="70" spans="10:20" ht="12.75" customHeight="1" x14ac:dyDescent="0.25">
      <c r="J70" s="1"/>
      <c r="K70" s="1"/>
      <c r="S70" s="1"/>
      <c r="T70" s="1"/>
    </row>
    <row r="71" spans="10:20" ht="12.75" customHeight="1" x14ac:dyDescent="0.25">
      <c r="J71" s="1"/>
      <c r="K71" s="1"/>
      <c r="S71" s="1"/>
      <c r="T71" s="1"/>
    </row>
    <row r="72" spans="10:20" ht="12.75" customHeight="1" x14ac:dyDescent="0.25">
      <c r="J72" s="1"/>
      <c r="K72" s="1"/>
      <c r="S72" s="1"/>
      <c r="T72" s="1"/>
    </row>
    <row r="73" spans="10:20" ht="12.75" customHeight="1" x14ac:dyDescent="0.25">
      <c r="J73" s="1"/>
      <c r="K73" s="1"/>
      <c r="S73" s="1"/>
      <c r="T73" s="1"/>
    </row>
    <row r="74" spans="10:20" ht="12.75" customHeight="1" x14ac:dyDescent="0.25">
      <c r="J74" s="1"/>
      <c r="K74" s="1"/>
      <c r="S74" s="1"/>
      <c r="T74" s="1"/>
    </row>
    <row r="75" spans="10:20" ht="12.75" customHeight="1" x14ac:dyDescent="0.25">
      <c r="J75" s="1"/>
      <c r="K75" s="1"/>
      <c r="S75" s="1"/>
      <c r="T75" s="1"/>
    </row>
    <row r="76" spans="10:20" ht="12.75" customHeight="1" x14ac:dyDescent="0.25">
      <c r="J76" s="1"/>
      <c r="K76" s="1"/>
      <c r="S76" s="1"/>
      <c r="T76" s="1"/>
    </row>
    <row r="77" spans="10:20" ht="12.75" customHeight="1" x14ac:dyDescent="0.25">
      <c r="J77" s="1"/>
      <c r="K77" s="1"/>
      <c r="S77" s="1"/>
      <c r="T77" s="1"/>
    </row>
    <row r="78" spans="10:20" ht="12.75" customHeight="1" x14ac:dyDescent="0.25">
      <c r="J78" s="1"/>
      <c r="K78" s="1"/>
      <c r="S78" s="1"/>
      <c r="T78" s="1"/>
    </row>
    <row r="79" spans="10:20" ht="12.75" customHeight="1" x14ac:dyDescent="0.25">
      <c r="J79" s="1"/>
      <c r="K79" s="1"/>
      <c r="S79" s="1"/>
      <c r="T79" s="1"/>
    </row>
    <row r="80" spans="10:20" ht="12.75" customHeight="1" x14ac:dyDescent="0.25">
      <c r="J80" s="1"/>
      <c r="K80" s="1"/>
      <c r="S80" s="1"/>
      <c r="T80" s="1"/>
    </row>
    <row r="81" spans="10:20" ht="12.75" customHeight="1" x14ac:dyDescent="0.25">
      <c r="J81" s="1"/>
      <c r="K81" s="1"/>
      <c r="S81" s="1"/>
      <c r="T81" s="1"/>
    </row>
    <row r="82" spans="10:20" ht="12.75" customHeight="1" x14ac:dyDescent="0.25">
      <c r="J82" s="1"/>
      <c r="K82" s="1"/>
      <c r="S82" s="1"/>
      <c r="T82" s="1"/>
    </row>
    <row r="83" spans="10:20" ht="12.75" customHeight="1" x14ac:dyDescent="0.25">
      <c r="J83" s="1"/>
      <c r="K83" s="1"/>
      <c r="S83" s="1"/>
      <c r="T83" s="1"/>
    </row>
    <row r="84" spans="10:20" ht="12.75" customHeight="1" x14ac:dyDescent="0.25">
      <c r="J84" s="1"/>
      <c r="K84" s="1"/>
      <c r="S84" s="1"/>
      <c r="T84" s="1"/>
    </row>
    <row r="85" spans="10:20" ht="12.75" customHeight="1" x14ac:dyDescent="0.25">
      <c r="J85" s="1"/>
      <c r="K85" s="1"/>
      <c r="S85" s="1"/>
      <c r="T85" s="1"/>
    </row>
    <row r="86" spans="10:20" ht="12.75" customHeight="1" x14ac:dyDescent="0.25">
      <c r="J86" s="1"/>
      <c r="K86" s="1"/>
      <c r="S86" s="1"/>
      <c r="T86" s="1"/>
    </row>
    <row r="87" spans="10:20" ht="12.75" customHeight="1" x14ac:dyDescent="0.25">
      <c r="J87" s="1"/>
      <c r="K87" s="1"/>
      <c r="S87" s="1"/>
      <c r="T87" s="1"/>
    </row>
    <row r="88" spans="10:20" ht="12.75" customHeight="1" x14ac:dyDescent="0.25">
      <c r="J88" s="1"/>
      <c r="K88" s="1"/>
      <c r="S88" s="1"/>
      <c r="T88" s="1"/>
    </row>
    <row r="89" spans="10:20" ht="12.75" customHeight="1" x14ac:dyDescent="0.25">
      <c r="J89" s="1"/>
      <c r="K89" s="1"/>
      <c r="S89" s="1"/>
      <c r="T89" s="1"/>
    </row>
    <row r="90" spans="10:20" ht="12.75" customHeight="1" x14ac:dyDescent="0.25">
      <c r="J90" s="1"/>
      <c r="K90" s="1"/>
      <c r="S90" s="1"/>
      <c r="T90" s="1"/>
    </row>
    <row r="91" spans="10:20" ht="12.75" customHeight="1" x14ac:dyDescent="0.25">
      <c r="J91" s="1"/>
      <c r="K91" s="1"/>
      <c r="S91" s="1"/>
      <c r="T91" s="1"/>
    </row>
    <row r="92" spans="10:20" ht="12.75" customHeight="1" x14ac:dyDescent="0.25">
      <c r="J92" s="1"/>
      <c r="K92" s="1"/>
      <c r="S92" s="1"/>
      <c r="T92" s="1"/>
    </row>
    <row r="93" spans="10:20" ht="12.75" customHeight="1" x14ac:dyDescent="0.25">
      <c r="J93" s="1"/>
      <c r="K93" s="1"/>
      <c r="S93" s="1"/>
      <c r="T93" s="1"/>
    </row>
    <row r="94" spans="10:20" ht="12.75" customHeight="1" x14ac:dyDescent="0.25">
      <c r="J94" s="1"/>
      <c r="K94" s="1"/>
      <c r="S94" s="1"/>
      <c r="T94" s="1"/>
    </row>
    <row r="95" spans="10:20" ht="12.75" customHeight="1" x14ac:dyDescent="0.25">
      <c r="J95" s="1"/>
      <c r="K95" s="1"/>
      <c r="S95" s="1"/>
      <c r="T95" s="1"/>
    </row>
    <row r="96" spans="10:20" ht="12.75" customHeight="1" x14ac:dyDescent="0.25">
      <c r="J96" s="1"/>
      <c r="K96" s="1"/>
      <c r="S96" s="1"/>
      <c r="T96" s="1"/>
    </row>
    <row r="97" spans="10:20" ht="12.75" customHeight="1" x14ac:dyDescent="0.25">
      <c r="J97" s="1"/>
      <c r="K97" s="1"/>
      <c r="S97" s="1"/>
      <c r="T97" s="1"/>
    </row>
    <row r="98" spans="10:20" ht="12.75" customHeight="1" x14ac:dyDescent="0.25">
      <c r="J98" s="1"/>
      <c r="K98" s="1"/>
      <c r="S98" s="1"/>
      <c r="T98" s="1"/>
    </row>
    <row r="99" spans="10:20" ht="12.75" customHeight="1" x14ac:dyDescent="0.25">
      <c r="J99" s="1"/>
      <c r="K99" s="1"/>
      <c r="S99" s="1"/>
      <c r="T99" s="1"/>
    </row>
    <row r="100" spans="10:20" ht="12.75" customHeight="1" x14ac:dyDescent="0.25">
      <c r="J100" s="1"/>
      <c r="K100" s="1"/>
      <c r="S100" s="1"/>
      <c r="T100" s="1"/>
    </row>
    <row r="101" spans="10:20" ht="12.75" customHeight="1" x14ac:dyDescent="0.25">
      <c r="J101" s="1"/>
      <c r="K101" s="1"/>
      <c r="S101" s="1"/>
      <c r="T101" s="1"/>
    </row>
    <row r="102" spans="10:20" ht="12.75" customHeight="1" x14ac:dyDescent="0.25">
      <c r="J102" s="1"/>
      <c r="K102" s="1"/>
      <c r="S102" s="1"/>
      <c r="T102" s="1"/>
    </row>
    <row r="103" spans="10:20" ht="12.75" customHeight="1" x14ac:dyDescent="0.25">
      <c r="J103" s="1"/>
      <c r="K103" s="1"/>
      <c r="S103" s="1"/>
      <c r="T103" s="1"/>
    </row>
    <row r="104" spans="10:20" ht="12.75" customHeight="1" x14ac:dyDescent="0.25">
      <c r="J104" s="1"/>
      <c r="K104" s="1"/>
      <c r="S104" s="1"/>
      <c r="T104" s="1"/>
    </row>
    <row r="105" spans="10:20" ht="12.75" customHeight="1" x14ac:dyDescent="0.25">
      <c r="J105" s="1"/>
      <c r="K105" s="1"/>
      <c r="S105" s="1"/>
      <c r="T105" s="1"/>
    </row>
    <row r="106" spans="10:20" ht="12.75" customHeight="1" x14ac:dyDescent="0.25">
      <c r="J106" s="1"/>
      <c r="K106" s="1"/>
      <c r="S106" s="1"/>
      <c r="T106" s="1"/>
    </row>
    <row r="107" spans="10:20" ht="12.75" customHeight="1" x14ac:dyDescent="0.25">
      <c r="J107" s="1"/>
      <c r="K107" s="1"/>
      <c r="S107" s="1"/>
      <c r="T107" s="1"/>
    </row>
    <row r="108" spans="10:20" ht="12.75" customHeight="1" x14ac:dyDescent="0.25">
      <c r="J108" s="1"/>
      <c r="K108" s="1"/>
      <c r="S108" s="1"/>
      <c r="T108" s="1"/>
    </row>
    <row r="109" spans="10:20" ht="12.75" customHeight="1" x14ac:dyDescent="0.25">
      <c r="J109" s="1"/>
      <c r="K109" s="1"/>
      <c r="S109" s="1"/>
      <c r="T109" s="1"/>
    </row>
    <row r="110" spans="10:20" ht="12.75" customHeight="1" x14ac:dyDescent="0.25">
      <c r="J110" s="1"/>
      <c r="K110" s="1"/>
      <c r="S110" s="1"/>
      <c r="T110" s="1"/>
    </row>
    <row r="111" spans="10:20" ht="12.75" customHeight="1" x14ac:dyDescent="0.25">
      <c r="J111" s="1"/>
      <c r="K111" s="1"/>
      <c r="S111" s="1"/>
      <c r="T111" s="1"/>
    </row>
    <row r="112" spans="10:20" ht="12.75" customHeight="1" x14ac:dyDescent="0.25">
      <c r="J112" s="1"/>
      <c r="K112" s="1"/>
      <c r="S112" s="1"/>
      <c r="T112" s="1"/>
    </row>
    <row r="113" spans="10:20" ht="12.75" customHeight="1" x14ac:dyDescent="0.25">
      <c r="J113" s="1"/>
      <c r="K113" s="1"/>
      <c r="S113" s="1"/>
      <c r="T113" s="1"/>
    </row>
    <row r="114" spans="10:20" ht="12.75" customHeight="1" x14ac:dyDescent="0.25">
      <c r="J114" s="1"/>
      <c r="K114" s="1"/>
      <c r="S114" s="1"/>
      <c r="T114" s="1"/>
    </row>
    <row r="115" spans="10:20" ht="12.75" customHeight="1" x14ac:dyDescent="0.25">
      <c r="J115" s="1"/>
      <c r="K115" s="1"/>
      <c r="S115" s="1"/>
      <c r="T115" s="1"/>
    </row>
    <row r="116" spans="10:20" ht="12.75" customHeight="1" x14ac:dyDescent="0.25">
      <c r="J116" s="1"/>
      <c r="K116" s="1"/>
      <c r="S116" s="1"/>
      <c r="T116" s="1"/>
    </row>
    <row r="117" spans="10:20" ht="12.75" customHeight="1" x14ac:dyDescent="0.25">
      <c r="J117" s="1"/>
      <c r="K117" s="1"/>
      <c r="S117" s="1"/>
      <c r="T117" s="1"/>
    </row>
    <row r="118" spans="10:20" ht="12.75" customHeight="1" x14ac:dyDescent="0.25">
      <c r="J118" s="1"/>
      <c r="K118" s="1"/>
      <c r="S118" s="1"/>
      <c r="T118" s="1"/>
    </row>
    <row r="119" spans="10:20" ht="12.75" customHeight="1" x14ac:dyDescent="0.25">
      <c r="J119" s="1"/>
      <c r="K119" s="1"/>
      <c r="S119" s="1"/>
      <c r="T119" s="1"/>
    </row>
    <row r="120" spans="10:20" ht="12.75" customHeight="1" x14ac:dyDescent="0.25">
      <c r="J120" s="1"/>
      <c r="K120" s="1"/>
      <c r="S120" s="1"/>
      <c r="T120" s="1"/>
    </row>
    <row r="121" spans="10:20" ht="12.75" customHeight="1" x14ac:dyDescent="0.25">
      <c r="J121" s="1"/>
      <c r="K121" s="1"/>
      <c r="S121" s="1"/>
      <c r="T121" s="1"/>
    </row>
    <row r="122" spans="10:20" ht="12.75" customHeight="1" x14ac:dyDescent="0.25">
      <c r="J122" s="1"/>
      <c r="K122" s="1"/>
      <c r="S122" s="1"/>
      <c r="T122" s="1"/>
    </row>
    <row r="123" spans="10:20" ht="12.75" customHeight="1" x14ac:dyDescent="0.25">
      <c r="J123" s="1"/>
      <c r="K123" s="1"/>
      <c r="S123" s="1"/>
      <c r="T123" s="1"/>
    </row>
    <row r="124" spans="10:20" ht="12.75" customHeight="1" x14ac:dyDescent="0.25">
      <c r="J124" s="1"/>
      <c r="K124" s="1"/>
      <c r="S124" s="1"/>
      <c r="T124" s="1"/>
    </row>
    <row r="125" spans="10:20" ht="12.75" customHeight="1" x14ac:dyDescent="0.25">
      <c r="J125" s="1"/>
      <c r="K125" s="1"/>
      <c r="S125" s="1"/>
      <c r="T125" s="1"/>
    </row>
    <row r="126" spans="10:20" ht="12.75" customHeight="1" x14ac:dyDescent="0.25">
      <c r="J126" s="1"/>
      <c r="K126" s="1"/>
      <c r="S126" s="1"/>
      <c r="T126" s="1"/>
    </row>
    <row r="127" spans="10:20" ht="12.75" customHeight="1" x14ac:dyDescent="0.25">
      <c r="J127" s="1"/>
      <c r="K127" s="1"/>
      <c r="S127" s="1"/>
      <c r="T127" s="1"/>
    </row>
    <row r="128" spans="10:20" ht="12.75" customHeight="1" x14ac:dyDescent="0.25">
      <c r="J128" s="1"/>
      <c r="K128" s="1"/>
      <c r="S128" s="1"/>
      <c r="T128" s="1"/>
    </row>
    <row r="129" spans="10:20" ht="12.75" customHeight="1" x14ac:dyDescent="0.25">
      <c r="J129" s="1"/>
      <c r="K129" s="1"/>
      <c r="S129" s="1"/>
      <c r="T129" s="1"/>
    </row>
    <row r="130" spans="10:20" ht="12.75" customHeight="1" x14ac:dyDescent="0.25">
      <c r="J130" s="1"/>
      <c r="K130" s="1"/>
      <c r="S130" s="1"/>
      <c r="T130" s="1"/>
    </row>
    <row r="131" spans="10:20" ht="12.75" customHeight="1" x14ac:dyDescent="0.25">
      <c r="J131" s="1"/>
      <c r="K131" s="1"/>
      <c r="S131" s="1"/>
      <c r="T131" s="1"/>
    </row>
    <row r="132" spans="10:20" ht="12.75" customHeight="1" x14ac:dyDescent="0.25">
      <c r="J132" s="1"/>
      <c r="K132" s="1"/>
      <c r="S132" s="1"/>
      <c r="T132" s="1"/>
    </row>
    <row r="133" spans="10:20" ht="12.75" customHeight="1" x14ac:dyDescent="0.25">
      <c r="J133" s="1"/>
      <c r="K133" s="1"/>
      <c r="S133" s="1"/>
      <c r="T133" s="1"/>
    </row>
    <row r="134" spans="10:20" ht="12.75" customHeight="1" x14ac:dyDescent="0.25">
      <c r="J134" s="1"/>
      <c r="K134" s="1"/>
      <c r="S134" s="1"/>
      <c r="T134" s="1"/>
    </row>
    <row r="135" spans="10:20" ht="12.75" customHeight="1" x14ac:dyDescent="0.25">
      <c r="J135" s="1"/>
      <c r="K135" s="1"/>
      <c r="S135" s="1"/>
      <c r="T135" s="1"/>
    </row>
    <row r="136" spans="10:20" ht="12.75" customHeight="1" x14ac:dyDescent="0.25">
      <c r="J136" s="1"/>
      <c r="K136" s="1"/>
      <c r="S136" s="1"/>
      <c r="T136" s="1"/>
    </row>
    <row r="137" spans="10:20" ht="12.75" customHeight="1" x14ac:dyDescent="0.25">
      <c r="J137" s="1"/>
      <c r="K137" s="1"/>
      <c r="S137" s="1"/>
      <c r="T137" s="1"/>
    </row>
    <row r="138" spans="10:20" ht="12.75" customHeight="1" x14ac:dyDescent="0.25">
      <c r="J138" s="1"/>
      <c r="K138" s="1"/>
      <c r="S138" s="1"/>
      <c r="T138" s="1"/>
    </row>
    <row r="139" spans="10:20" ht="12.75" customHeight="1" x14ac:dyDescent="0.25">
      <c r="J139" s="1"/>
      <c r="K139" s="1"/>
      <c r="S139" s="1"/>
      <c r="T139" s="1"/>
    </row>
    <row r="140" spans="10:20" ht="12.75" customHeight="1" x14ac:dyDescent="0.25">
      <c r="J140" s="1"/>
      <c r="K140" s="1"/>
      <c r="S140" s="1"/>
      <c r="T140" s="1"/>
    </row>
    <row r="141" spans="10:20" ht="12.75" customHeight="1" x14ac:dyDescent="0.25">
      <c r="J141" s="1"/>
      <c r="K141" s="1"/>
      <c r="S141" s="1"/>
      <c r="T141" s="1"/>
    </row>
    <row r="142" spans="10:20" ht="12.75" customHeight="1" x14ac:dyDescent="0.25">
      <c r="J142" s="1"/>
      <c r="K142" s="1"/>
      <c r="S142" s="1"/>
      <c r="T142" s="1"/>
    </row>
    <row r="143" spans="10:20" ht="12.75" customHeight="1" x14ac:dyDescent="0.25">
      <c r="J143" s="1"/>
      <c r="K143" s="1"/>
      <c r="S143" s="1"/>
      <c r="T143" s="1"/>
    </row>
    <row r="144" spans="10:20" ht="12.75" customHeight="1" x14ac:dyDescent="0.25">
      <c r="J144" s="1"/>
      <c r="K144" s="1"/>
      <c r="S144" s="1"/>
      <c r="T144" s="1"/>
    </row>
    <row r="145" spans="10:20" ht="12.75" customHeight="1" x14ac:dyDescent="0.25">
      <c r="J145" s="1"/>
      <c r="K145" s="1"/>
      <c r="S145" s="1"/>
      <c r="T145" s="1"/>
    </row>
    <row r="146" spans="10:20" ht="12.75" customHeight="1" x14ac:dyDescent="0.25">
      <c r="J146" s="1"/>
      <c r="K146" s="1"/>
      <c r="S146" s="1"/>
      <c r="T146" s="1"/>
    </row>
    <row r="147" spans="10:20" ht="12.75" customHeight="1" x14ac:dyDescent="0.25">
      <c r="J147" s="1"/>
      <c r="K147" s="1"/>
      <c r="S147" s="1"/>
      <c r="T147" s="1"/>
    </row>
    <row r="148" spans="10:20" ht="12.75" customHeight="1" x14ac:dyDescent="0.25">
      <c r="J148" s="1"/>
      <c r="K148" s="1"/>
      <c r="S148" s="1"/>
      <c r="T148" s="1"/>
    </row>
    <row r="149" spans="10:20" ht="12.75" customHeight="1" x14ac:dyDescent="0.25">
      <c r="J149" s="1"/>
      <c r="K149" s="1"/>
      <c r="S149" s="1"/>
      <c r="T149" s="1"/>
    </row>
    <row r="150" spans="10:20" ht="12.75" customHeight="1" x14ac:dyDescent="0.25">
      <c r="J150" s="1"/>
      <c r="K150" s="1"/>
      <c r="S150" s="1"/>
      <c r="T150" s="1"/>
    </row>
    <row r="151" spans="10:20" ht="12.75" customHeight="1" x14ac:dyDescent="0.25">
      <c r="J151" s="1"/>
      <c r="K151" s="1"/>
      <c r="S151" s="1"/>
      <c r="T151" s="1"/>
    </row>
    <row r="152" spans="10:20" ht="12.75" customHeight="1" x14ac:dyDescent="0.25">
      <c r="J152" s="1"/>
      <c r="K152" s="1"/>
      <c r="S152" s="1"/>
      <c r="T152" s="1"/>
    </row>
    <row r="153" spans="10:20" ht="12.75" customHeight="1" x14ac:dyDescent="0.25">
      <c r="J153" s="1"/>
      <c r="K153" s="1"/>
      <c r="S153" s="1"/>
      <c r="T153" s="1"/>
    </row>
    <row r="154" spans="10:20" ht="12.75" customHeight="1" x14ac:dyDescent="0.25">
      <c r="J154" s="1"/>
      <c r="K154" s="1"/>
      <c r="S154" s="1"/>
      <c r="T154" s="1"/>
    </row>
    <row r="155" spans="10:20" ht="12.75" customHeight="1" x14ac:dyDescent="0.25">
      <c r="J155" s="1"/>
      <c r="K155" s="1"/>
      <c r="S155" s="1"/>
      <c r="T155" s="1"/>
    </row>
    <row r="156" spans="10:20" ht="12.75" customHeight="1" x14ac:dyDescent="0.25">
      <c r="J156" s="1"/>
      <c r="K156" s="1"/>
      <c r="S156" s="1"/>
      <c r="T156" s="1"/>
    </row>
    <row r="157" spans="10:20" ht="12.75" customHeight="1" x14ac:dyDescent="0.25">
      <c r="J157" s="1"/>
      <c r="K157" s="1"/>
      <c r="S157" s="1"/>
      <c r="T157" s="1"/>
    </row>
    <row r="158" spans="10:20" ht="12.75" customHeight="1" x14ac:dyDescent="0.25">
      <c r="J158" s="1"/>
      <c r="K158" s="1"/>
      <c r="S158" s="1"/>
      <c r="T158" s="1"/>
    </row>
    <row r="159" spans="10:20" ht="12.75" customHeight="1" x14ac:dyDescent="0.25">
      <c r="J159" s="1"/>
      <c r="K159" s="1"/>
      <c r="S159" s="1"/>
      <c r="T159" s="1"/>
    </row>
    <row r="160" spans="10:20" ht="12.75" customHeight="1" x14ac:dyDescent="0.25">
      <c r="J160" s="1"/>
      <c r="K160" s="1"/>
      <c r="S160" s="1"/>
      <c r="T160" s="1"/>
    </row>
    <row r="161" spans="10:20" ht="12.75" customHeight="1" x14ac:dyDescent="0.25">
      <c r="J161" s="1"/>
      <c r="K161" s="1"/>
      <c r="S161" s="1"/>
      <c r="T161" s="1"/>
    </row>
    <row r="162" spans="10:20" ht="12.75" customHeight="1" x14ac:dyDescent="0.25">
      <c r="J162" s="1"/>
      <c r="K162" s="1"/>
      <c r="S162" s="1"/>
      <c r="T162" s="1"/>
    </row>
    <row r="163" spans="10:20" ht="12.75" customHeight="1" x14ac:dyDescent="0.25">
      <c r="J163" s="1"/>
      <c r="K163" s="1"/>
      <c r="S163" s="1"/>
      <c r="T163" s="1"/>
    </row>
    <row r="164" spans="10:20" ht="12.75" customHeight="1" x14ac:dyDescent="0.25">
      <c r="J164" s="1"/>
      <c r="K164" s="1"/>
      <c r="S164" s="1"/>
      <c r="T164" s="1"/>
    </row>
    <row r="165" spans="10:20" ht="12.75" customHeight="1" x14ac:dyDescent="0.25">
      <c r="J165" s="1"/>
      <c r="K165" s="1"/>
      <c r="S165" s="1"/>
      <c r="T165" s="1"/>
    </row>
    <row r="166" spans="10:20" ht="12.75" customHeight="1" x14ac:dyDescent="0.25">
      <c r="J166" s="1"/>
      <c r="K166" s="1"/>
      <c r="S166" s="1"/>
      <c r="T166" s="1"/>
    </row>
    <row r="167" spans="10:20" ht="12.75" customHeight="1" x14ac:dyDescent="0.25">
      <c r="J167" s="1"/>
      <c r="K167" s="1"/>
      <c r="S167" s="1"/>
      <c r="T167" s="1"/>
    </row>
    <row r="168" spans="10:20" ht="12.75" customHeight="1" x14ac:dyDescent="0.25">
      <c r="J168" s="1"/>
      <c r="K168" s="1"/>
      <c r="S168" s="1"/>
      <c r="T168" s="1"/>
    </row>
    <row r="169" spans="10:20" ht="12.75" customHeight="1" x14ac:dyDescent="0.25">
      <c r="J169" s="1"/>
      <c r="K169" s="1"/>
      <c r="S169" s="1"/>
      <c r="T169" s="1"/>
    </row>
    <row r="170" spans="10:20" ht="12.75" customHeight="1" x14ac:dyDescent="0.25">
      <c r="J170" s="1"/>
      <c r="K170" s="1"/>
      <c r="S170" s="1"/>
      <c r="T170" s="1"/>
    </row>
    <row r="171" spans="10:20" ht="12.75" customHeight="1" x14ac:dyDescent="0.25">
      <c r="J171" s="1"/>
      <c r="K171" s="1"/>
      <c r="S171" s="1"/>
      <c r="T171" s="1"/>
    </row>
    <row r="172" spans="10:20" ht="12.75" customHeight="1" x14ac:dyDescent="0.25">
      <c r="J172" s="1"/>
      <c r="K172" s="1"/>
      <c r="S172" s="1"/>
      <c r="T172" s="1"/>
    </row>
    <row r="173" spans="10:20" ht="12.75" customHeight="1" x14ac:dyDescent="0.25">
      <c r="J173" s="1"/>
      <c r="K173" s="1"/>
      <c r="S173" s="1"/>
      <c r="T173" s="1"/>
    </row>
    <row r="174" spans="10:20" ht="12.75" customHeight="1" x14ac:dyDescent="0.25">
      <c r="J174" s="1"/>
      <c r="K174" s="1"/>
      <c r="S174" s="1"/>
      <c r="T174" s="1"/>
    </row>
    <row r="175" spans="10:20" ht="12.75" customHeight="1" x14ac:dyDescent="0.25">
      <c r="J175" s="1"/>
      <c r="K175" s="1"/>
      <c r="S175" s="1"/>
      <c r="T175" s="1"/>
    </row>
    <row r="176" spans="10:20" ht="12.75" customHeight="1" x14ac:dyDescent="0.25">
      <c r="J176" s="1"/>
      <c r="K176" s="1"/>
      <c r="S176" s="1"/>
      <c r="T176" s="1"/>
    </row>
    <row r="177" spans="10:20" ht="12.75" customHeight="1" x14ac:dyDescent="0.25">
      <c r="J177" s="1"/>
      <c r="K177" s="1"/>
      <c r="S177" s="1"/>
      <c r="T177" s="1"/>
    </row>
    <row r="178" spans="10:20" ht="12.75" customHeight="1" x14ac:dyDescent="0.25">
      <c r="J178" s="1"/>
      <c r="K178" s="1"/>
      <c r="S178" s="1"/>
      <c r="T178" s="1"/>
    </row>
    <row r="179" spans="10:20" ht="12.75" customHeight="1" x14ac:dyDescent="0.25">
      <c r="J179" s="1"/>
      <c r="K179" s="1"/>
      <c r="S179" s="1"/>
      <c r="T179" s="1"/>
    </row>
    <row r="180" spans="10:20" ht="12.75" customHeight="1" x14ac:dyDescent="0.25">
      <c r="J180" s="1"/>
      <c r="K180" s="1"/>
      <c r="S180" s="1"/>
      <c r="T180" s="1"/>
    </row>
    <row r="181" spans="10:20" ht="12.75" customHeight="1" x14ac:dyDescent="0.25">
      <c r="J181" s="1"/>
      <c r="K181" s="1"/>
      <c r="S181" s="1"/>
      <c r="T181" s="1"/>
    </row>
    <row r="182" spans="10:20" ht="12.75" customHeight="1" x14ac:dyDescent="0.25">
      <c r="J182" s="1"/>
      <c r="K182" s="1"/>
      <c r="S182" s="1"/>
      <c r="T182" s="1"/>
    </row>
    <row r="183" spans="10:20" ht="12.75" customHeight="1" x14ac:dyDescent="0.25">
      <c r="J183" s="1"/>
      <c r="K183" s="1"/>
      <c r="S183" s="1"/>
      <c r="T183" s="1"/>
    </row>
    <row r="184" spans="10:20" ht="12.75" customHeight="1" x14ac:dyDescent="0.25">
      <c r="J184" s="1"/>
      <c r="K184" s="1"/>
      <c r="S184" s="1"/>
      <c r="T184" s="1"/>
    </row>
    <row r="185" spans="10:20" ht="12.75" customHeight="1" x14ac:dyDescent="0.25">
      <c r="J185" s="1"/>
      <c r="K185" s="1"/>
      <c r="S185" s="1"/>
      <c r="T185" s="1"/>
    </row>
    <row r="186" spans="10:20" ht="12.75" customHeight="1" x14ac:dyDescent="0.25">
      <c r="J186" s="1"/>
      <c r="K186" s="1"/>
      <c r="S186" s="1"/>
      <c r="T186" s="1"/>
    </row>
    <row r="187" spans="10:20" ht="12.75" customHeight="1" x14ac:dyDescent="0.25">
      <c r="J187" s="1"/>
      <c r="K187" s="1"/>
      <c r="S187" s="1"/>
      <c r="T187" s="1"/>
    </row>
    <row r="188" spans="10:20" ht="12.75" customHeight="1" x14ac:dyDescent="0.25">
      <c r="J188" s="1"/>
      <c r="K188" s="1"/>
      <c r="S188" s="1"/>
      <c r="T188" s="1"/>
    </row>
    <row r="189" spans="10:20" ht="12.75" customHeight="1" x14ac:dyDescent="0.25">
      <c r="J189" s="1"/>
      <c r="K189" s="1"/>
      <c r="S189" s="1"/>
      <c r="T189" s="1"/>
    </row>
    <row r="190" spans="10:20" ht="12.75" customHeight="1" x14ac:dyDescent="0.25">
      <c r="J190" s="1"/>
      <c r="K190" s="1"/>
      <c r="S190" s="1"/>
      <c r="T190" s="1"/>
    </row>
    <row r="191" spans="10:20" ht="12.75" customHeight="1" x14ac:dyDescent="0.25">
      <c r="J191" s="1"/>
      <c r="K191" s="1"/>
      <c r="S191" s="1"/>
      <c r="T191" s="1"/>
    </row>
    <row r="192" spans="10:20" ht="12.75" customHeight="1" x14ac:dyDescent="0.25">
      <c r="J192" s="1"/>
      <c r="K192" s="1"/>
      <c r="S192" s="1"/>
      <c r="T192" s="1"/>
    </row>
    <row r="193" spans="10:20" ht="12.75" customHeight="1" x14ac:dyDescent="0.25">
      <c r="J193" s="1"/>
      <c r="K193" s="1"/>
      <c r="S193" s="1"/>
      <c r="T193" s="1"/>
    </row>
    <row r="194" spans="10:20" ht="12.75" customHeight="1" x14ac:dyDescent="0.25">
      <c r="J194" s="1"/>
      <c r="K194" s="1"/>
      <c r="S194" s="1"/>
      <c r="T194" s="1"/>
    </row>
    <row r="195" spans="10:20" ht="12.75" customHeight="1" x14ac:dyDescent="0.25">
      <c r="J195" s="1"/>
      <c r="K195" s="1"/>
      <c r="S195" s="1"/>
      <c r="T195" s="1"/>
    </row>
    <row r="196" spans="10:20" ht="12.75" customHeight="1" x14ac:dyDescent="0.25">
      <c r="J196" s="1"/>
      <c r="K196" s="1"/>
      <c r="S196" s="1"/>
      <c r="T196" s="1"/>
    </row>
    <row r="197" spans="10:20" ht="12.75" customHeight="1" x14ac:dyDescent="0.25">
      <c r="J197" s="1"/>
      <c r="K197" s="1"/>
      <c r="S197" s="1"/>
      <c r="T197" s="1"/>
    </row>
    <row r="198" spans="10:20" ht="12.75" customHeight="1" x14ac:dyDescent="0.25">
      <c r="J198" s="1"/>
      <c r="K198" s="1"/>
      <c r="S198" s="1"/>
      <c r="T198" s="1"/>
    </row>
    <row r="199" spans="10:20" ht="12.75" customHeight="1" x14ac:dyDescent="0.25">
      <c r="J199" s="1"/>
      <c r="K199" s="1"/>
      <c r="S199" s="1"/>
      <c r="T199" s="1"/>
    </row>
    <row r="200" spans="10:20" ht="12.75" customHeight="1" x14ac:dyDescent="0.25">
      <c r="J200" s="1"/>
      <c r="K200" s="1"/>
      <c r="S200" s="1"/>
      <c r="T200" s="1"/>
    </row>
    <row r="201" spans="10:20" ht="12.75" customHeight="1" x14ac:dyDescent="0.25">
      <c r="J201" s="1"/>
      <c r="K201" s="1"/>
      <c r="S201" s="1"/>
      <c r="T201" s="1"/>
    </row>
    <row r="202" spans="10:20" ht="12.75" customHeight="1" x14ac:dyDescent="0.25">
      <c r="J202" s="1"/>
      <c r="K202" s="1"/>
      <c r="S202" s="1"/>
      <c r="T202" s="1"/>
    </row>
    <row r="203" spans="10:20" ht="12.75" customHeight="1" x14ac:dyDescent="0.25">
      <c r="J203" s="1"/>
      <c r="K203" s="1"/>
      <c r="S203" s="1"/>
      <c r="T203" s="1"/>
    </row>
    <row r="204" spans="10:20" ht="12.75" customHeight="1" x14ac:dyDescent="0.25">
      <c r="J204" s="1"/>
      <c r="K204" s="1"/>
      <c r="S204" s="1"/>
      <c r="T204" s="1"/>
    </row>
    <row r="205" spans="10:20" ht="12.75" customHeight="1" x14ac:dyDescent="0.25">
      <c r="J205" s="1"/>
      <c r="K205" s="1"/>
      <c r="S205" s="1"/>
      <c r="T205" s="1"/>
    </row>
    <row r="206" spans="10:20" ht="12.75" customHeight="1" x14ac:dyDescent="0.25">
      <c r="J206" s="1"/>
      <c r="K206" s="1"/>
      <c r="S206" s="1"/>
      <c r="T206" s="1"/>
    </row>
    <row r="207" spans="10:20" ht="12.75" customHeight="1" x14ac:dyDescent="0.25">
      <c r="J207" s="1"/>
      <c r="K207" s="1"/>
      <c r="S207" s="1"/>
      <c r="T207" s="1"/>
    </row>
    <row r="208" spans="10:20" ht="12.75" customHeight="1" x14ac:dyDescent="0.25">
      <c r="J208" s="1"/>
      <c r="K208" s="1"/>
      <c r="S208" s="1"/>
      <c r="T208" s="1"/>
    </row>
    <row r="209" spans="10:20" ht="12.75" customHeight="1" x14ac:dyDescent="0.25">
      <c r="J209" s="1"/>
      <c r="K209" s="1"/>
      <c r="S209" s="1"/>
      <c r="T209" s="1"/>
    </row>
    <row r="210" spans="10:20" ht="12.75" customHeight="1" x14ac:dyDescent="0.25">
      <c r="J210" s="1"/>
      <c r="K210" s="1"/>
      <c r="S210" s="1"/>
      <c r="T210" s="1"/>
    </row>
    <row r="211" spans="10:20" ht="12.75" customHeight="1" x14ac:dyDescent="0.25">
      <c r="J211" s="1"/>
      <c r="K211" s="1"/>
      <c r="S211" s="1"/>
      <c r="T211" s="1"/>
    </row>
    <row r="212" spans="10:20" ht="12.75" customHeight="1" x14ac:dyDescent="0.25">
      <c r="J212" s="1"/>
      <c r="K212" s="1"/>
      <c r="S212" s="1"/>
      <c r="T212" s="1"/>
    </row>
    <row r="213" spans="10:20" ht="12.75" customHeight="1" x14ac:dyDescent="0.25">
      <c r="J213" s="1"/>
      <c r="K213" s="1"/>
      <c r="S213" s="1"/>
      <c r="T213" s="1"/>
    </row>
    <row r="214" spans="10:20" ht="12.75" customHeight="1" x14ac:dyDescent="0.25">
      <c r="J214" s="1"/>
      <c r="K214" s="1"/>
      <c r="S214" s="1"/>
      <c r="T214" s="1"/>
    </row>
    <row r="215" spans="10:20" ht="12.75" customHeight="1" x14ac:dyDescent="0.25">
      <c r="J215" s="1"/>
      <c r="K215" s="1"/>
      <c r="S215" s="1"/>
      <c r="T215" s="1"/>
    </row>
    <row r="216" spans="10:20" ht="12.75" customHeight="1" x14ac:dyDescent="0.25">
      <c r="J216" s="1"/>
      <c r="K216" s="1"/>
      <c r="S216" s="1"/>
      <c r="T216" s="1"/>
    </row>
    <row r="217" spans="10:20" ht="12.75" customHeight="1" x14ac:dyDescent="0.25">
      <c r="J217" s="1"/>
      <c r="K217" s="1"/>
      <c r="S217" s="1"/>
      <c r="T217" s="1"/>
    </row>
    <row r="218" spans="10:20" ht="12.75" customHeight="1" x14ac:dyDescent="0.25">
      <c r="J218" s="1"/>
      <c r="K218" s="1"/>
      <c r="S218" s="1"/>
      <c r="T218" s="1"/>
    </row>
    <row r="219" spans="10:20" ht="12.75" customHeight="1" x14ac:dyDescent="0.25">
      <c r="J219" s="1"/>
      <c r="K219" s="1"/>
      <c r="S219" s="1"/>
      <c r="T219" s="1"/>
    </row>
    <row r="220" spans="10:20" ht="12.75" customHeight="1" x14ac:dyDescent="0.25">
      <c r="J220" s="1"/>
      <c r="K220" s="1"/>
      <c r="S220" s="1"/>
      <c r="T220" s="1"/>
    </row>
    <row r="221" spans="10:20" ht="12.75" customHeight="1" x14ac:dyDescent="0.25">
      <c r="J221" s="1"/>
      <c r="K221" s="1"/>
      <c r="S221" s="1"/>
      <c r="T221" s="1"/>
    </row>
    <row r="222" spans="10:20" ht="12.75" customHeight="1" x14ac:dyDescent="0.25">
      <c r="J222" s="1"/>
      <c r="K222" s="1"/>
      <c r="S222" s="1"/>
      <c r="T222" s="1"/>
    </row>
    <row r="223" spans="10:20" ht="12.75" customHeight="1" x14ac:dyDescent="0.25">
      <c r="J223" s="1"/>
      <c r="K223" s="1"/>
      <c r="S223" s="1"/>
      <c r="T223" s="1"/>
    </row>
    <row r="224" spans="10:20" ht="12.75" customHeight="1" x14ac:dyDescent="0.25">
      <c r="J224" s="1"/>
      <c r="K224" s="1"/>
      <c r="S224" s="1"/>
      <c r="T224" s="1"/>
    </row>
    <row r="225" spans="10:20" ht="12.75" customHeight="1" x14ac:dyDescent="0.25">
      <c r="J225" s="1"/>
      <c r="K225" s="1"/>
      <c r="S225" s="1"/>
      <c r="T225" s="1"/>
    </row>
    <row r="226" spans="10:20" ht="12.75" customHeight="1" x14ac:dyDescent="0.25">
      <c r="J226" s="1"/>
      <c r="K226" s="1"/>
      <c r="S226" s="1"/>
      <c r="T226" s="1"/>
    </row>
    <row r="227" spans="10:20" ht="12.75" customHeight="1" x14ac:dyDescent="0.25">
      <c r="J227" s="1"/>
      <c r="K227" s="1"/>
      <c r="S227" s="1"/>
      <c r="T227" s="1"/>
    </row>
    <row r="228" spans="10:20" ht="12.75" customHeight="1" x14ac:dyDescent="0.25">
      <c r="J228" s="1"/>
      <c r="K228" s="1"/>
      <c r="S228" s="1"/>
      <c r="T228" s="1"/>
    </row>
    <row r="229" spans="10:20" ht="12.75" customHeight="1" x14ac:dyDescent="0.25">
      <c r="J229" s="1"/>
      <c r="K229" s="1"/>
      <c r="S229" s="1"/>
      <c r="T229" s="1"/>
    </row>
    <row r="230" spans="10:20" ht="12.75" customHeight="1" x14ac:dyDescent="0.25">
      <c r="J230" s="1"/>
      <c r="K230" s="1"/>
      <c r="S230" s="1"/>
      <c r="T230" s="1"/>
    </row>
    <row r="231" spans="10:20" ht="12.75" customHeight="1" x14ac:dyDescent="0.25">
      <c r="J231" s="1"/>
      <c r="K231" s="1"/>
      <c r="S231" s="1"/>
      <c r="T231" s="1"/>
    </row>
    <row r="232" spans="10:20" ht="12.75" customHeight="1" x14ac:dyDescent="0.25">
      <c r="J232" s="1"/>
      <c r="K232" s="1"/>
      <c r="S232" s="1"/>
      <c r="T232" s="1"/>
    </row>
    <row r="233" spans="10:20" ht="12.75" customHeight="1" x14ac:dyDescent="0.25">
      <c r="J233" s="1"/>
      <c r="K233" s="1"/>
      <c r="S233" s="1"/>
      <c r="T233" s="1"/>
    </row>
    <row r="234" spans="10:20" ht="12.75" customHeight="1" x14ac:dyDescent="0.25">
      <c r="J234" s="1"/>
      <c r="K234" s="1"/>
      <c r="S234" s="1"/>
      <c r="T234" s="1"/>
    </row>
    <row r="235" spans="10:20" ht="12.75" customHeight="1" x14ac:dyDescent="0.25">
      <c r="J235" s="1"/>
      <c r="K235" s="1"/>
      <c r="S235" s="1"/>
      <c r="T235" s="1"/>
    </row>
    <row r="236" spans="10:20" ht="12.75" customHeight="1" x14ac:dyDescent="0.25">
      <c r="J236" s="1"/>
      <c r="K236" s="1"/>
      <c r="S236" s="1"/>
      <c r="T236" s="1"/>
    </row>
    <row r="237" spans="10:20" ht="12.75" customHeight="1" x14ac:dyDescent="0.25">
      <c r="J237" s="1"/>
      <c r="K237" s="1"/>
      <c r="S237" s="1"/>
      <c r="T237" s="1"/>
    </row>
    <row r="238" spans="10:20" ht="12.75" customHeight="1" x14ac:dyDescent="0.25">
      <c r="J238" s="1"/>
      <c r="K238" s="1"/>
      <c r="S238" s="1"/>
      <c r="T238" s="1"/>
    </row>
    <row r="239" spans="10:20" ht="12.75" customHeight="1" x14ac:dyDescent="0.25">
      <c r="J239" s="1"/>
      <c r="K239" s="1"/>
      <c r="S239" s="1"/>
      <c r="T239" s="1"/>
    </row>
    <row r="240" spans="10:20" ht="12.75" customHeight="1" x14ac:dyDescent="0.25">
      <c r="J240" s="1"/>
      <c r="K240" s="1"/>
      <c r="S240" s="1"/>
      <c r="T240" s="1"/>
    </row>
    <row r="241" spans="10:20" ht="12.75" customHeight="1" x14ac:dyDescent="0.25">
      <c r="J241" s="1"/>
      <c r="K241" s="1"/>
      <c r="S241" s="1"/>
      <c r="T241" s="1"/>
    </row>
    <row r="242" spans="10:20" ht="12.75" customHeight="1" x14ac:dyDescent="0.25">
      <c r="J242" s="1"/>
      <c r="K242" s="1"/>
      <c r="S242" s="1"/>
      <c r="T242" s="1"/>
    </row>
    <row r="243" spans="10:20" ht="12.75" customHeight="1" x14ac:dyDescent="0.25">
      <c r="J243" s="1"/>
      <c r="K243" s="1"/>
      <c r="S243" s="1"/>
      <c r="T243" s="1"/>
    </row>
    <row r="244" spans="10:20" ht="12.75" customHeight="1" x14ac:dyDescent="0.25">
      <c r="J244" s="1"/>
      <c r="K244" s="1"/>
      <c r="S244" s="1"/>
      <c r="T244" s="1"/>
    </row>
    <row r="245" spans="10:20" ht="12.75" customHeight="1" x14ac:dyDescent="0.25">
      <c r="J245" s="1"/>
      <c r="K245" s="1"/>
      <c r="S245" s="1"/>
      <c r="T245" s="1"/>
    </row>
    <row r="246" spans="10:20" ht="12.75" customHeight="1" x14ac:dyDescent="0.25">
      <c r="J246" s="1"/>
      <c r="K246" s="1"/>
      <c r="S246" s="1"/>
      <c r="T246" s="1"/>
    </row>
    <row r="247" spans="10:20" ht="12.75" customHeight="1" x14ac:dyDescent="0.25">
      <c r="J247" s="1"/>
      <c r="K247" s="1"/>
      <c r="S247" s="1"/>
      <c r="T247" s="1"/>
    </row>
    <row r="248" spans="10:20" ht="12.75" customHeight="1" x14ac:dyDescent="0.25">
      <c r="J248" s="1"/>
      <c r="K248" s="1"/>
      <c r="S248" s="1"/>
      <c r="T248" s="1"/>
    </row>
    <row r="249" spans="10:20" ht="12.75" customHeight="1" x14ac:dyDescent="0.25">
      <c r="J249" s="1"/>
      <c r="K249" s="1"/>
      <c r="S249" s="1"/>
      <c r="T249" s="1"/>
    </row>
    <row r="250" spans="10:20" ht="12.75" customHeight="1" x14ac:dyDescent="0.25">
      <c r="J250" s="1"/>
      <c r="K250" s="1"/>
      <c r="S250" s="1"/>
      <c r="T250" s="1"/>
    </row>
    <row r="251" spans="10:20" ht="12.75" customHeight="1" x14ac:dyDescent="0.25">
      <c r="J251" s="1"/>
      <c r="K251" s="1"/>
      <c r="S251" s="1"/>
      <c r="T251" s="1"/>
    </row>
    <row r="252" spans="10:20" ht="12.75" customHeight="1" x14ac:dyDescent="0.25">
      <c r="J252" s="1"/>
      <c r="K252" s="1"/>
      <c r="S252" s="1"/>
      <c r="T252" s="1"/>
    </row>
    <row r="253" spans="10:20" ht="12.75" customHeight="1" x14ac:dyDescent="0.25">
      <c r="J253" s="1"/>
      <c r="K253" s="1"/>
      <c r="S253" s="1"/>
      <c r="T253" s="1"/>
    </row>
    <row r="254" spans="10:20" ht="12.75" customHeight="1" x14ac:dyDescent="0.25">
      <c r="J254" s="1"/>
      <c r="K254" s="1"/>
      <c r="S254" s="1"/>
      <c r="T254" s="1"/>
    </row>
    <row r="255" spans="10:20" ht="12.75" customHeight="1" x14ac:dyDescent="0.25">
      <c r="J255" s="1"/>
      <c r="K255" s="1"/>
      <c r="S255" s="1"/>
      <c r="T255" s="1"/>
    </row>
    <row r="256" spans="10:20" ht="12.75" customHeight="1" x14ac:dyDescent="0.25">
      <c r="J256" s="1"/>
      <c r="K256" s="1"/>
      <c r="S256" s="1"/>
      <c r="T256" s="1"/>
    </row>
    <row r="257" spans="10:20" ht="12.75" customHeight="1" x14ac:dyDescent="0.25">
      <c r="J257" s="1"/>
      <c r="K257" s="1"/>
      <c r="S257" s="1"/>
      <c r="T257" s="1"/>
    </row>
    <row r="258" spans="10:20" ht="12.75" customHeight="1" x14ac:dyDescent="0.25">
      <c r="J258" s="1"/>
      <c r="K258" s="1"/>
      <c r="S258" s="1"/>
      <c r="T258" s="1"/>
    </row>
    <row r="259" spans="10:20" ht="12.75" customHeight="1" x14ac:dyDescent="0.25">
      <c r="J259" s="1"/>
      <c r="K259" s="1"/>
      <c r="S259" s="1"/>
      <c r="T259" s="1"/>
    </row>
    <row r="260" spans="10:20" ht="12.75" customHeight="1" x14ac:dyDescent="0.25">
      <c r="J260" s="1"/>
      <c r="K260" s="1"/>
      <c r="S260" s="1"/>
      <c r="T260" s="1"/>
    </row>
    <row r="261" spans="10:20" ht="12.75" customHeight="1" x14ac:dyDescent="0.25">
      <c r="J261" s="1"/>
      <c r="K261" s="1"/>
      <c r="S261" s="1"/>
      <c r="T261" s="1"/>
    </row>
    <row r="262" spans="10:20" ht="12.75" customHeight="1" x14ac:dyDescent="0.25">
      <c r="J262" s="1"/>
      <c r="K262" s="1"/>
      <c r="S262" s="1"/>
      <c r="T262" s="1"/>
    </row>
    <row r="263" spans="10:20" ht="12.75" customHeight="1" x14ac:dyDescent="0.25">
      <c r="J263" s="1"/>
      <c r="K263" s="1"/>
      <c r="S263" s="1"/>
      <c r="T263" s="1"/>
    </row>
    <row r="264" spans="10:20" ht="12.75" customHeight="1" x14ac:dyDescent="0.25">
      <c r="J264" s="1"/>
      <c r="K264" s="1"/>
      <c r="S264" s="1"/>
      <c r="T264" s="1"/>
    </row>
    <row r="265" spans="10:20" ht="12.75" customHeight="1" x14ac:dyDescent="0.25">
      <c r="J265" s="1"/>
      <c r="K265" s="1"/>
      <c r="S265" s="1"/>
      <c r="T265" s="1"/>
    </row>
  </sheetData>
  <mergeCells count="13">
    <mergeCell ref="G35:H35"/>
    <mergeCell ref="J35:K35"/>
    <mergeCell ref="O35:Q35"/>
    <mergeCell ref="S35:T35"/>
    <mergeCell ref="E5:F5"/>
    <mergeCell ref="G5:H5"/>
    <mergeCell ref="J5:K5"/>
    <mergeCell ref="O5:Q5"/>
    <mergeCell ref="S5:T5"/>
    <mergeCell ref="G20:H20"/>
    <mergeCell ref="J20:K20"/>
    <mergeCell ref="O20:Q20"/>
    <mergeCell ref="S20:T20"/>
  </mergeCells>
  <conditionalFormatting sqref="C1:C4 C6:C8 C15:C23 D17:F17 C30:C31 C32:F32 C33:C38 C45:C46 C47:F47 C48:C1048576">
    <cfRule type="containsText" dxfId="25" priority="1" operator="containsText" text="BOUTEILLES">
      <formula>NOT(ISERROR(SEARCH("BOUTEILLES",C1)))</formula>
    </cfRule>
  </conditionalFormatting>
  <conditionalFormatting sqref="K8:K15 T8:T15 K23:K30 T23:T30 K38:K45 T38:T45">
    <cfRule type="cellIs" dxfId="24" priority="2" operator="equal">
      <formula>""""""</formula>
    </cfRule>
    <cfRule type="cellIs" dxfId="23" priority="3" operator="equal">
      <formula>0</formula>
    </cfRule>
    <cfRule type="cellIs" dxfId="22" priority="4" operator="lessThan">
      <formula>0</formula>
    </cfRule>
    <cfRule type="cellIs" dxfId="21" priority="5" operator="greaterThan">
      <formula>0</formula>
    </cfRule>
  </conditionalFormatting>
  <hyperlinks>
    <hyperlink ref="T1" location="Accueil!A1" tooltip="Menu" display="Menu"/>
  </hyperlinks>
  <pageMargins left="0.70866141732283472" right="0.70866141732283472" top="0.32" bottom="0.42" header="0.17" footer="0.17"/>
  <pageSetup paperSize="9" scale="64" fitToHeight="0" orientation="landscape" r:id="rId1"/>
  <headerFooter>
    <oddFooter>Page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1" tint="0.249977111117893"/>
    <pageSetUpPr fitToPage="1"/>
  </sheetPr>
  <dimension ref="B1:S257"/>
  <sheetViews>
    <sheetView zoomScale="90" zoomScaleNormal="90" workbookViewId="0">
      <pane ySplit="3" topLeftCell="A4" activePane="bottomLeft" state="frozen"/>
      <selection activeCell="Q3" sqref="Q3:R3"/>
      <selection pane="bottomLeft" activeCell="T16" sqref="T16"/>
    </sheetView>
  </sheetViews>
  <sheetFormatPr baseColWidth="10" defaultColWidth="12.5546875" defaultRowHeight="15" customHeight="1" outlineLevelRow="1" x14ac:dyDescent="0.25"/>
  <cols>
    <col min="1" max="1" width="2.109375" customWidth="1"/>
    <col min="2" max="2" width="16.5546875" style="127" customWidth="1"/>
    <col min="3" max="3" width="8.88671875" style="10" customWidth="1"/>
    <col min="4" max="4" width="11.44140625" style="115" customWidth="1"/>
    <col min="5" max="5" width="21.44140625" customWidth="1"/>
    <col min="6" max="6" width="18.33203125" customWidth="1"/>
    <col min="7" max="7" width="9.5546875" customWidth="1"/>
    <col min="8" max="8" width="11.5546875" customWidth="1"/>
    <col min="9" max="9" width="0.88671875" customWidth="1"/>
    <col min="10" max="10" width="9.5546875" customWidth="1"/>
    <col min="11" max="11" width="11.6640625" bestFit="1" customWidth="1"/>
    <col min="12" max="12" width="1.109375" customWidth="1"/>
    <col min="13" max="13" width="3.5546875" customWidth="1"/>
    <col min="14" max="14" width="9.5546875" customWidth="1"/>
    <col min="15" max="15" width="11.5546875" customWidth="1"/>
    <col min="16" max="16" width="0.88671875" customWidth="1"/>
    <col min="17" max="17" width="8.88671875" customWidth="1"/>
    <col min="18" max="18" width="10.6640625" customWidth="1"/>
    <col min="19" max="19" width="1.109375" customWidth="1"/>
    <col min="20" max="20" width="17" customWidth="1"/>
    <col min="21" max="27" width="10" customWidth="1"/>
  </cols>
  <sheetData>
    <row r="1" spans="2:18" ht="12.75" customHeight="1" x14ac:dyDescent="0.25">
      <c r="B1" s="126" t="s">
        <v>22</v>
      </c>
      <c r="K1" s="45" t="s">
        <v>10</v>
      </c>
      <c r="R1" s="91" t="s">
        <v>36</v>
      </c>
    </row>
    <row r="2" spans="2:18" ht="12.75" customHeight="1" x14ac:dyDescent="0.25"/>
    <row r="3" spans="2:18" ht="23.25" customHeight="1" x14ac:dyDescent="0.4">
      <c r="B3" s="128" t="s">
        <v>6</v>
      </c>
      <c r="G3" s="36" t="s">
        <v>48</v>
      </c>
      <c r="J3" s="1"/>
      <c r="K3" s="1"/>
      <c r="N3" s="36"/>
      <c r="Q3" s="195" t="s">
        <v>53</v>
      </c>
      <c r="R3" s="291" t="str">
        <f ca="1">TEXT(TODAY(),"mmmm")</f>
        <v>janvier</v>
      </c>
    </row>
    <row r="4" spans="2:18" ht="12.75" customHeight="1" x14ac:dyDescent="0.25">
      <c r="J4" s="1"/>
      <c r="K4" s="2"/>
      <c r="Q4" s="1"/>
      <c r="R4" s="2"/>
    </row>
    <row r="5" spans="2:18" ht="15.75" customHeight="1" x14ac:dyDescent="0.3">
      <c r="B5" s="242" t="s">
        <v>66</v>
      </c>
      <c r="C5" s="274"/>
      <c r="D5" s="274"/>
      <c r="E5" s="274"/>
      <c r="F5" s="275"/>
      <c r="G5" s="327" t="s">
        <v>16</v>
      </c>
      <c r="H5" s="328"/>
      <c r="I5" s="276"/>
      <c r="J5" s="323" t="s">
        <v>0</v>
      </c>
      <c r="K5" s="324"/>
      <c r="L5" s="277"/>
      <c r="M5" s="277"/>
      <c r="N5" s="325" t="s">
        <v>17</v>
      </c>
      <c r="O5" s="326"/>
      <c r="P5" s="276"/>
      <c r="Q5" s="323" t="s">
        <v>0</v>
      </c>
      <c r="R5" s="324"/>
    </row>
    <row r="6" spans="2:18" ht="22.5" customHeight="1" x14ac:dyDescent="0.25">
      <c r="B6" s="46" t="s">
        <v>1</v>
      </c>
      <c r="C6" s="7" t="s">
        <v>7</v>
      </c>
      <c r="D6" s="47" t="s">
        <v>5</v>
      </c>
      <c r="E6" s="48" t="s">
        <v>14</v>
      </c>
      <c r="F6" s="93" t="s">
        <v>42</v>
      </c>
      <c r="G6" s="82" t="s">
        <v>2</v>
      </c>
      <c r="H6" s="50" t="s">
        <v>13</v>
      </c>
      <c r="I6" s="23"/>
      <c r="J6" s="81" t="s">
        <v>0</v>
      </c>
      <c r="K6" s="84" t="s">
        <v>3</v>
      </c>
      <c r="N6" s="83" t="s">
        <v>2</v>
      </c>
      <c r="O6" s="40" t="s">
        <v>13</v>
      </c>
      <c r="P6" s="23"/>
      <c r="Q6" s="81" t="s">
        <v>0</v>
      </c>
      <c r="R6" s="84" t="s">
        <v>3</v>
      </c>
    </row>
    <row r="7" spans="2:18" ht="4.5" customHeight="1" x14ac:dyDescent="0.25">
      <c r="F7" s="23"/>
      <c r="G7" s="54"/>
      <c r="H7" s="23"/>
      <c r="I7" s="23"/>
      <c r="J7" s="55"/>
      <c r="K7" s="25"/>
      <c r="N7" s="54"/>
      <c r="O7" s="23"/>
      <c r="P7" s="23"/>
      <c r="Q7" s="55"/>
      <c r="R7" s="25"/>
    </row>
    <row r="8" spans="2:18" ht="17.100000000000001" customHeight="1" x14ac:dyDescent="0.3">
      <c r="B8" s="142" t="s">
        <v>47</v>
      </c>
      <c r="C8" s="11"/>
      <c r="D8" s="116"/>
      <c r="E8" s="3"/>
      <c r="F8" s="3"/>
      <c r="G8" s="56"/>
      <c r="H8" s="4"/>
      <c r="I8" s="23"/>
      <c r="J8" s="4"/>
      <c r="K8" s="57"/>
      <c r="N8" s="56"/>
      <c r="O8" s="4"/>
      <c r="P8" s="23"/>
      <c r="Q8" s="4"/>
      <c r="R8" s="57"/>
    </row>
    <row r="9" spans="2:18" ht="12.75" customHeight="1" outlineLevel="1" x14ac:dyDescent="0.25">
      <c r="B9" s="179" t="s">
        <v>82</v>
      </c>
      <c r="C9" s="16"/>
      <c r="D9" s="117"/>
      <c r="E9" s="37"/>
      <c r="F9" s="51"/>
      <c r="G9" s="58"/>
      <c r="H9" s="18"/>
      <c r="I9" s="19"/>
      <c r="J9" s="282"/>
      <c r="K9" s="21" t="str">
        <f>IF(J9="","",J9-H9)</f>
        <v/>
      </c>
      <c r="N9" s="58"/>
      <c r="O9" s="18"/>
      <c r="P9" s="19"/>
      <c r="Q9" s="282"/>
      <c r="R9" s="21" t="str">
        <f t="shared" ref="R9:R17" si="0">IF(Q9="","",Q9-O9)</f>
        <v/>
      </c>
    </row>
    <row r="10" spans="2:18" ht="18" customHeight="1" outlineLevel="1" x14ac:dyDescent="0.25">
      <c r="B10" s="177">
        <v>46024</v>
      </c>
      <c r="C10" s="292" t="s">
        <v>8</v>
      </c>
      <c r="D10" s="293"/>
      <c r="E10" s="294" t="s">
        <v>46</v>
      </c>
      <c r="F10" s="295"/>
      <c r="G10" s="297"/>
      <c r="H10" s="13">
        <v>1103</v>
      </c>
      <c r="I10" s="23"/>
      <c r="J10" s="281">
        <v>1103</v>
      </c>
      <c r="K10" s="25">
        <f t="shared" ref="K10:K18" si="1">IF(J10="","",J10-H10)</f>
        <v>0</v>
      </c>
      <c r="N10" s="298"/>
      <c r="O10" s="13">
        <v>34</v>
      </c>
      <c r="P10" s="23"/>
      <c r="Q10" s="281">
        <v>34</v>
      </c>
      <c r="R10" s="25">
        <f t="shared" si="0"/>
        <v>0</v>
      </c>
    </row>
    <row r="11" spans="2:18" ht="15.6" customHeight="1" outlineLevel="1" x14ac:dyDescent="0.25">
      <c r="B11" s="177">
        <v>46025</v>
      </c>
      <c r="C11" s="292" t="s">
        <v>8</v>
      </c>
      <c r="D11" s="293"/>
      <c r="E11" s="294" t="s">
        <v>46</v>
      </c>
      <c r="F11" s="295"/>
      <c r="G11" s="297"/>
      <c r="H11" s="13">
        <f t="shared" ref="H11:H17" si="2">IF(C11="","",IF(C11="Entrée",H10+G11,IF(C11="Sortie",H10-G11)))</f>
        <v>1103</v>
      </c>
      <c r="I11" s="180"/>
      <c r="J11" s="281">
        <v>1103</v>
      </c>
      <c r="K11" s="25">
        <f t="shared" si="1"/>
        <v>0</v>
      </c>
      <c r="N11" s="298"/>
      <c r="O11" s="13">
        <f t="shared" ref="O11:O17" si="3">IF(C11="","",IF(C11="Entrée",O10+N11,IF(C11="Sortie",O10-N11)))</f>
        <v>34</v>
      </c>
      <c r="P11" s="23"/>
      <c r="Q11" s="281">
        <v>34</v>
      </c>
      <c r="R11" s="25">
        <f t="shared" si="0"/>
        <v>0</v>
      </c>
    </row>
    <row r="12" spans="2:18" ht="12" customHeight="1" outlineLevel="1" x14ac:dyDescent="0.25">
      <c r="B12" s="177">
        <v>46026</v>
      </c>
      <c r="C12" s="292" t="s">
        <v>8</v>
      </c>
      <c r="D12" s="293"/>
      <c r="E12" s="294" t="s">
        <v>46</v>
      </c>
      <c r="F12" s="295"/>
      <c r="G12" s="297"/>
      <c r="H12" s="13">
        <f t="shared" si="2"/>
        <v>1103</v>
      </c>
      <c r="I12" s="180"/>
      <c r="J12" s="281">
        <v>1103</v>
      </c>
      <c r="K12" s="25">
        <f t="shared" si="1"/>
        <v>0</v>
      </c>
      <c r="N12" s="298"/>
      <c r="O12" s="13">
        <f t="shared" si="3"/>
        <v>34</v>
      </c>
      <c r="P12" s="23"/>
      <c r="Q12" s="281">
        <v>34</v>
      </c>
      <c r="R12" s="25">
        <f t="shared" si="0"/>
        <v>0</v>
      </c>
    </row>
    <row r="13" spans="2:18" ht="12" customHeight="1" outlineLevel="1" x14ac:dyDescent="0.25">
      <c r="B13" s="177">
        <v>46027</v>
      </c>
      <c r="C13" s="292" t="s">
        <v>8</v>
      </c>
      <c r="D13" s="293"/>
      <c r="E13" s="294" t="s">
        <v>46</v>
      </c>
      <c r="F13" s="295"/>
      <c r="G13" s="297"/>
      <c r="H13" s="13">
        <f t="shared" si="2"/>
        <v>1103</v>
      </c>
      <c r="I13" s="180"/>
      <c r="J13" s="281">
        <v>1103</v>
      </c>
      <c r="K13" s="25">
        <f t="shared" si="1"/>
        <v>0</v>
      </c>
      <c r="N13" s="298"/>
      <c r="O13" s="13">
        <f t="shared" si="3"/>
        <v>34</v>
      </c>
      <c r="P13" s="23"/>
      <c r="Q13" s="281">
        <v>34</v>
      </c>
      <c r="R13" s="25">
        <f t="shared" si="0"/>
        <v>0</v>
      </c>
    </row>
    <row r="14" spans="2:18" ht="12" customHeight="1" outlineLevel="1" x14ac:dyDescent="0.25">
      <c r="B14" s="280"/>
      <c r="C14" s="12"/>
      <c r="D14" s="243"/>
      <c r="E14" s="162"/>
      <c r="F14" s="183"/>
      <c r="G14" s="154"/>
      <c r="H14" s="13" t="str">
        <f t="shared" si="2"/>
        <v/>
      </c>
      <c r="I14" s="23"/>
      <c r="J14" s="281"/>
      <c r="K14" s="25" t="str">
        <f t="shared" ref="K14:K16" si="4">IF(J14="","",J14-H14)</f>
        <v/>
      </c>
      <c r="N14" s="66"/>
      <c r="O14" s="13" t="str">
        <f t="shared" si="3"/>
        <v/>
      </c>
      <c r="P14" s="23"/>
      <c r="Q14" s="281"/>
      <c r="R14" s="25" t="str">
        <f t="shared" si="0"/>
        <v/>
      </c>
    </row>
    <row r="15" spans="2:18" ht="12" customHeight="1" outlineLevel="1" x14ac:dyDescent="0.25">
      <c r="B15" s="182"/>
      <c r="C15" s="12"/>
      <c r="D15" s="243"/>
      <c r="E15" s="162"/>
      <c r="F15" s="183"/>
      <c r="G15" s="154"/>
      <c r="H15" s="13" t="str">
        <f t="shared" si="2"/>
        <v/>
      </c>
      <c r="I15" s="23"/>
      <c r="J15" s="281"/>
      <c r="K15" s="25" t="str">
        <f t="shared" si="4"/>
        <v/>
      </c>
      <c r="N15" s="66"/>
      <c r="O15" s="13" t="str">
        <f t="shared" si="3"/>
        <v/>
      </c>
      <c r="P15" s="23"/>
      <c r="Q15" s="281"/>
      <c r="R15" s="25" t="str">
        <f t="shared" si="0"/>
        <v/>
      </c>
    </row>
    <row r="16" spans="2:18" ht="12" customHeight="1" outlineLevel="1" x14ac:dyDescent="0.25">
      <c r="B16" s="182"/>
      <c r="C16" s="12"/>
      <c r="D16" s="243"/>
      <c r="E16" s="162"/>
      <c r="F16" s="183"/>
      <c r="G16" s="154"/>
      <c r="H16" s="13" t="str">
        <f t="shared" si="2"/>
        <v/>
      </c>
      <c r="I16" s="23"/>
      <c r="J16" s="281"/>
      <c r="K16" s="25" t="str">
        <f t="shared" si="4"/>
        <v/>
      </c>
      <c r="N16" s="66"/>
      <c r="O16" s="13" t="str">
        <f t="shared" si="3"/>
        <v/>
      </c>
      <c r="P16" s="23"/>
      <c r="Q16" s="281"/>
      <c r="R16" s="25" t="str">
        <f t="shared" si="0"/>
        <v/>
      </c>
    </row>
    <row r="17" spans="2:19" ht="12" customHeight="1" outlineLevel="1" x14ac:dyDescent="0.25">
      <c r="B17" s="130"/>
      <c r="C17" s="12"/>
      <c r="D17" s="243"/>
      <c r="E17" s="64"/>
      <c r="F17" s="65"/>
      <c r="G17" s="66"/>
      <c r="H17" s="13" t="str">
        <f t="shared" si="2"/>
        <v/>
      </c>
      <c r="I17" s="23"/>
      <c r="J17" s="281"/>
      <c r="K17" s="25" t="str">
        <f t="shared" si="1"/>
        <v/>
      </c>
      <c r="N17" s="66"/>
      <c r="O17" s="13" t="str">
        <f t="shared" si="3"/>
        <v/>
      </c>
      <c r="P17" s="23"/>
      <c r="Q17" s="281"/>
      <c r="R17" s="25" t="str">
        <f t="shared" si="0"/>
        <v/>
      </c>
    </row>
    <row r="18" spans="2:19" ht="12.75" customHeight="1" outlineLevel="1" x14ac:dyDescent="0.25">
      <c r="B18" s="131"/>
      <c r="C18" s="27"/>
      <c r="D18" s="119"/>
      <c r="E18" s="39"/>
      <c r="F18" s="53"/>
      <c r="G18" s="60"/>
      <c r="H18" s="29" t="str">
        <f>IF(C18="","",IF(C18="Entrée",#REF!+G18,IF(C18="Sortie",#REF!-G18)))</f>
        <v/>
      </c>
      <c r="I18" s="30"/>
      <c r="J18" s="290"/>
      <c r="K18" s="32" t="str">
        <f t="shared" si="1"/>
        <v/>
      </c>
      <c r="N18" s="60"/>
      <c r="O18" s="29" t="str">
        <f>IF(C18="","",IF(J18="Entrée",#REF!+N18,IF(J18="Sortie",#REF!-N18)))</f>
        <v/>
      </c>
      <c r="P18" s="30"/>
      <c r="Q18" s="290"/>
      <c r="R18" s="32" t="str">
        <f>IF(Q18="","",Q18-O18)</f>
        <v/>
      </c>
    </row>
    <row r="19" spans="2:19" ht="7.35" customHeight="1" x14ac:dyDescent="0.25">
      <c r="B19" s="120"/>
      <c r="C19" s="6"/>
      <c r="D19" s="120"/>
      <c r="E19" s="6"/>
      <c r="F19" s="6"/>
      <c r="G19" s="6"/>
      <c r="H19" s="6"/>
      <c r="I19" s="6"/>
      <c r="J19" s="6"/>
      <c r="K19" s="6"/>
      <c r="L19" s="6"/>
      <c r="N19" s="6"/>
      <c r="O19" s="6"/>
      <c r="P19" s="6"/>
      <c r="Q19" s="6"/>
      <c r="R19" s="6"/>
      <c r="S19" s="6"/>
    </row>
    <row r="20" spans="2:19" ht="21" customHeight="1" x14ac:dyDescent="0.25">
      <c r="B20" s="120"/>
      <c r="C20" s="6"/>
      <c r="D20" s="120"/>
      <c r="E20" s="6"/>
      <c r="F20" s="70" t="s">
        <v>11</v>
      </c>
      <c r="G20" s="71">
        <f>SUMIF(C9:C18,"Entrée",G9:G18)</f>
        <v>0</v>
      </c>
      <c r="H20" s="6"/>
      <c r="I20" s="6"/>
      <c r="J20" s="6"/>
      <c r="K20" s="6"/>
      <c r="L20" s="6"/>
      <c r="O20" s="15"/>
      <c r="P20" s="61"/>
      <c r="Q20" s="70" t="s">
        <v>25</v>
      </c>
      <c r="R20" s="71">
        <f>SUMIF(C9:C18,"Entrée",N9:N18)</f>
        <v>0</v>
      </c>
      <c r="S20" s="6"/>
    </row>
    <row r="21" spans="2:19" ht="21" customHeight="1" x14ac:dyDescent="0.25">
      <c r="B21" s="120"/>
      <c r="C21" s="6"/>
      <c r="E21" s="6"/>
      <c r="F21" s="70" t="s">
        <v>12</v>
      </c>
      <c r="G21" s="71">
        <f>SUMIF(C9:C18,"Sortie",G9:G18)</f>
        <v>0</v>
      </c>
      <c r="H21" s="6"/>
      <c r="I21" s="6"/>
      <c r="J21" s="6"/>
      <c r="K21" s="6"/>
      <c r="L21" s="6"/>
      <c r="O21" s="15"/>
      <c r="P21" s="61"/>
      <c r="Q21" s="70" t="s">
        <v>24</v>
      </c>
      <c r="R21" s="71">
        <f>SUMIF(C9:C18,"Sortie",N9:N18)</f>
        <v>0</v>
      </c>
      <c r="S21" s="6"/>
    </row>
    <row r="22" spans="2:19" ht="9" customHeight="1" x14ac:dyDescent="0.25">
      <c r="B22" s="132"/>
      <c r="C22" s="6"/>
      <c r="E22" s="6"/>
      <c r="F22" s="67"/>
      <c r="G22" s="68"/>
      <c r="H22" s="6"/>
      <c r="I22" s="6"/>
      <c r="J22" s="6"/>
      <c r="K22" s="6"/>
      <c r="L22" s="6"/>
      <c r="O22" s="69"/>
      <c r="P22" s="69"/>
      <c r="Q22" s="67"/>
      <c r="R22" s="68"/>
      <c r="S22" s="6"/>
    </row>
    <row r="23" spans="2:19" ht="12.75" customHeight="1" x14ac:dyDescent="0.25">
      <c r="J23" s="1"/>
      <c r="K23" s="1"/>
      <c r="Q23" s="1"/>
      <c r="R23" s="1"/>
    </row>
    <row r="24" spans="2:19" ht="12.75" customHeight="1" x14ac:dyDescent="0.25">
      <c r="J24" s="1"/>
      <c r="K24" s="1"/>
      <c r="Q24" s="1"/>
      <c r="R24" s="1"/>
    </row>
    <row r="25" spans="2:19" ht="12.75" customHeight="1" x14ac:dyDescent="0.25">
      <c r="J25" s="1"/>
      <c r="K25" s="1"/>
      <c r="Q25" s="1"/>
      <c r="R25" s="1"/>
    </row>
    <row r="26" spans="2:19" ht="12.75" customHeight="1" x14ac:dyDescent="0.25">
      <c r="J26" s="1"/>
      <c r="K26" s="1"/>
      <c r="Q26" s="1"/>
      <c r="R26" s="1"/>
    </row>
    <row r="27" spans="2:19" ht="12.75" customHeight="1" x14ac:dyDescent="0.25">
      <c r="J27" s="1"/>
      <c r="K27" s="1"/>
      <c r="Q27" s="1"/>
      <c r="R27" s="1"/>
    </row>
    <row r="28" spans="2:19" ht="12.75" customHeight="1" x14ac:dyDescent="0.25">
      <c r="J28" s="1"/>
      <c r="K28" s="1"/>
      <c r="Q28" s="1"/>
      <c r="R28" s="1"/>
    </row>
    <row r="29" spans="2:19" ht="12.75" customHeight="1" x14ac:dyDescent="0.25">
      <c r="J29" s="1"/>
      <c r="K29" s="1"/>
      <c r="Q29" s="1"/>
      <c r="R29" s="1"/>
    </row>
    <row r="30" spans="2:19" ht="12.75" customHeight="1" x14ac:dyDescent="0.25">
      <c r="J30" s="1"/>
      <c r="K30" s="1"/>
      <c r="Q30" s="1"/>
      <c r="R30" s="1"/>
    </row>
    <row r="31" spans="2:19" ht="12.75" customHeight="1" x14ac:dyDescent="0.25">
      <c r="J31" s="1"/>
      <c r="K31" s="1"/>
      <c r="Q31" s="1"/>
      <c r="R31" s="1"/>
    </row>
    <row r="32" spans="2:19" ht="12.75" customHeight="1" x14ac:dyDescent="0.25">
      <c r="J32" s="1"/>
      <c r="K32" s="1"/>
      <c r="Q32" s="1"/>
      <c r="R32" s="1"/>
    </row>
    <row r="33" spans="10:18" ht="12.75" customHeight="1" x14ac:dyDescent="0.25">
      <c r="J33" s="1"/>
      <c r="K33" s="1"/>
      <c r="Q33" s="1"/>
      <c r="R33" s="1"/>
    </row>
    <row r="34" spans="10:18" ht="12.75" customHeight="1" x14ac:dyDescent="0.25">
      <c r="J34" s="1"/>
      <c r="K34" s="1"/>
      <c r="Q34" s="1"/>
      <c r="R34" s="1"/>
    </row>
    <row r="35" spans="10:18" ht="12.75" customHeight="1" x14ac:dyDescent="0.25">
      <c r="J35" s="1"/>
      <c r="K35" s="1"/>
      <c r="Q35" s="1"/>
      <c r="R35" s="1"/>
    </row>
    <row r="36" spans="10:18" ht="12.75" customHeight="1" x14ac:dyDescent="0.25">
      <c r="J36" s="1"/>
      <c r="K36" s="1"/>
      <c r="Q36" s="1"/>
      <c r="R36" s="1"/>
    </row>
    <row r="37" spans="10:18" ht="12.75" customHeight="1" x14ac:dyDescent="0.25">
      <c r="J37" s="1"/>
      <c r="K37" s="1"/>
      <c r="Q37" s="1"/>
      <c r="R37" s="1"/>
    </row>
    <row r="38" spans="10:18" ht="12.75" customHeight="1" x14ac:dyDescent="0.25">
      <c r="J38" s="1"/>
      <c r="K38" s="1"/>
      <c r="Q38" s="1"/>
      <c r="R38" s="1"/>
    </row>
    <row r="39" spans="10:18" ht="12.75" customHeight="1" x14ac:dyDescent="0.25">
      <c r="J39" s="1"/>
      <c r="K39" s="1"/>
      <c r="Q39" s="1"/>
      <c r="R39" s="1"/>
    </row>
    <row r="40" spans="10:18" ht="12.75" customHeight="1" x14ac:dyDescent="0.25">
      <c r="J40" s="1"/>
      <c r="K40" s="1"/>
      <c r="Q40" s="1"/>
      <c r="R40" s="1"/>
    </row>
    <row r="41" spans="10:18" ht="12.75" customHeight="1" x14ac:dyDescent="0.25">
      <c r="J41" s="1"/>
      <c r="K41" s="1"/>
      <c r="Q41" s="1"/>
      <c r="R41" s="1"/>
    </row>
    <row r="42" spans="10:18" ht="12.75" customHeight="1" x14ac:dyDescent="0.25">
      <c r="J42" s="1"/>
      <c r="K42" s="1"/>
      <c r="Q42" s="1"/>
      <c r="R42" s="1"/>
    </row>
    <row r="43" spans="10:18" ht="12.75" customHeight="1" x14ac:dyDescent="0.25">
      <c r="J43" s="1"/>
      <c r="K43" s="1"/>
      <c r="Q43" s="1"/>
      <c r="R43" s="1"/>
    </row>
    <row r="44" spans="10:18" ht="12.75" customHeight="1" x14ac:dyDescent="0.25">
      <c r="J44" s="1"/>
      <c r="K44" s="1"/>
      <c r="Q44" s="1"/>
      <c r="R44" s="1"/>
    </row>
    <row r="45" spans="10:18" ht="12.75" customHeight="1" x14ac:dyDescent="0.25">
      <c r="J45" s="1"/>
      <c r="K45" s="1"/>
      <c r="Q45" s="1"/>
      <c r="R45" s="1"/>
    </row>
    <row r="46" spans="10:18" ht="12.75" customHeight="1" x14ac:dyDescent="0.25">
      <c r="J46" s="1"/>
      <c r="K46" s="1"/>
      <c r="Q46" s="1"/>
      <c r="R46" s="1"/>
    </row>
    <row r="47" spans="10:18" ht="12.75" customHeight="1" x14ac:dyDescent="0.25">
      <c r="J47" s="1"/>
      <c r="K47" s="1"/>
      <c r="Q47" s="1"/>
      <c r="R47" s="1"/>
    </row>
    <row r="48" spans="10:18" ht="12.75" customHeight="1" x14ac:dyDescent="0.25">
      <c r="J48" s="1"/>
      <c r="K48" s="1"/>
      <c r="Q48" s="1"/>
      <c r="R48" s="1"/>
    </row>
    <row r="49" spans="10:18" ht="12.75" customHeight="1" x14ac:dyDescent="0.25">
      <c r="J49" s="1"/>
      <c r="K49" s="1"/>
      <c r="Q49" s="1"/>
      <c r="R49" s="1"/>
    </row>
    <row r="50" spans="10:18" ht="12.75" customHeight="1" x14ac:dyDescent="0.25">
      <c r="J50" s="1"/>
      <c r="K50" s="1"/>
      <c r="Q50" s="1"/>
      <c r="R50" s="1"/>
    </row>
    <row r="51" spans="10:18" ht="12.75" customHeight="1" x14ac:dyDescent="0.25">
      <c r="J51" s="1"/>
      <c r="K51" s="1"/>
      <c r="Q51" s="1"/>
      <c r="R51" s="1"/>
    </row>
    <row r="52" spans="10:18" ht="12.75" customHeight="1" x14ac:dyDescent="0.25">
      <c r="J52" s="1"/>
      <c r="K52" s="1"/>
      <c r="Q52" s="1"/>
      <c r="R52" s="1"/>
    </row>
    <row r="53" spans="10:18" ht="12.75" customHeight="1" x14ac:dyDescent="0.25">
      <c r="J53" s="1"/>
      <c r="K53" s="1"/>
      <c r="Q53" s="1"/>
      <c r="R53" s="1"/>
    </row>
    <row r="54" spans="10:18" ht="12.75" customHeight="1" x14ac:dyDescent="0.25">
      <c r="J54" s="1"/>
      <c r="K54" s="1"/>
      <c r="Q54" s="1"/>
      <c r="R54" s="1"/>
    </row>
    <row r="55" spans="10:18" ht="12.75" customHeight="1" x14ac:dyDescent="0.25">
      <c r="J55" s="1"/>
      <c r="K55" s="1"/>
      <c r="Q55" s="1"/>
      <c r="R55" s="1"/>
    </row>
    <row r="56" spans="10:18" ht="12.75" customHeight="1" x14ac:dyDescent="0.25">
      <c r="J56" s="1"/>
      <c r="K56" s="1"/>
      <c r="Q56" s="1"/>
      <c r="R56" s="1"/>
    </row>
    <row r="57" spans="10:18" ht="12.75" customHeight="1" x14ac:dyDescent="0.25">
      <c r="J57" s="1"/>
      <c r="K57" s="1"/>
      <c r="Q57" s="1"/>
      <c r="R57" s="1"/>
    </row>
    <row r="58" spans="10:18" ht="12.75" customHeight="1" x14ac:dyDescent="0.25">
      <c r="J58" s="1"/>
      <c r="K58" s="1"/>
      <c r="Q58" s="1"/>
      <c r="R58" s="1"/>
    </row>
    <row r="59" spans="10:18" ht="12.75" customHeight="1" x14ac:dyDescent="0.25">
      <c r="J59" s="1"/>
      <c r="K59" s="1"/>
      <c r="Q59" s="1"/>
      <c r="R59" s="1"/>
    </row>
    <row r="60" spans="10:18" ht="12.75" customHeight="1" x14ac:dyDescent="0.25">
      <c r="J60" s="1"/>
      <c r="K60" s="1"/>
      <c r="Q60" s="1"/>
      <c r="R60" s="1"/>
    </row>
    <row r="61" spans="10:18" ht="12.75" customHeight="1" x14ac:dyDescent="0.25">
      <c r="J61" s="1"/>
      <c r="K61" s="1"/>
      <c r="Q61" s="1"/>
      <c r="R61" s="1"/>
    </row>
    <row r="62" spans="10:18" ht="12.75" customHeight="1" x14ac:dyDescent="0.25">
      <c r="J62" s="1"/>
      <c r="K62" s="1"/>
      <c r="Q62" s="1"/>
      <c r="R62" s="1"/>
    </row>
    <row r="63" spans="10:18" ht="12.75" customHeight="1" x14ac:dyDescent="0.25">
      <c r="J63" s="1"/>
      <c r="K63" s="1"/>
      <c r="Q63" s="1"/>
      <c r="R63" s="1"/>
    </row>
    <row r="64" spans="10:18" ht="12.75" customHeight="1" x14ac:dyDescent="0.25">
      <c r="J64" s="1"/>
      <c r="K64" s="1"/>
      <c r="Q64" s="1"/>
      <c r="R64" s="1"/>
    </row>
    <row r="65" spans="10:18" ht="12.75" customHeight="1" x14ac:dyDescent="0.25">
      <c r="J65" s="1"/>
      <c r="K65" s="1"/>
      <c r="Q65" s="1"/>
      <c r="R65" s="1"/>
    </row>
    <row r="66" spans="10:18" ht="12.75" customHeight="1" x14ac:dyDescent="0.25">
      <c r="J66" s="1"/>
      <c r="K66" s="1"/>
      <c r="Q66" s="1"/>
      <c r="R66" s="1"/>
    </row>
    <row r="67" spans="10:18" ht="12.75" customHeight="1" x14ac:dyDescent="0.25">
      <c r="J67" s="1"/>
      <c r="K67" s="1"/>
      <c r="Q67" s="1"/>
      <c r="R67" s="1"/>
    </row>
    <row r="68" spans="10:18" ht="12.75" customHeight="1" x14ac:dyDescent="0.25">
      <c r="J68" s="1"/>
      <c r="K68" s="1"/>
      <c r="Q68" s="1"/>
      <c r="R68" s="1"/>
    </row>
    <row r="69" spans="10:18" ht="12.75" customHeight="1" x14ac:dyDescent="0.25">
      <c r="J69" s="1"/>
      <c r="K69" s="1"/>
      <c r="Q69" s="1"/>
      <c r="R69" s="1"/>
    </row>
    <row r="70" spans="10:18" ht="12.75" customHeight="1" x14ac:dyDescent="0.25">
      <c r="J70" s="1"/>
      <c r="K70" s="1"/>
      <c r="Q70" s="1"/>
      <c r="R70" s="1"/>
    </row>
    <row r="71" spans="10:18" ht="12.75" customHeight="1" x14ac:dyDescent="0.25">
      <c r="J71" s="1"/>
      <c r="K71" s="1"/>
      <c r="Q71" s="1"/>
      <c r="R71" s="1"/>
    </row>
    <row r="72" spans="10:18" ht="12.75" customHeight="1" x14ac:dyDescent="0.25">
      <c r="J72" s="1"/>
      <c r="K72" s="1"/>
      <c r="Q72" s="1"/>
      <c r="R72" s="1"/>
    </row>
    <row r="73" spans="10:18" ht="12.75" customHeight="1" x14ac:dyDescent="0.25">
      <c r="J73" s="1"/>
      <c r="K73" s="1"/>
      <c r="Q73" s="1"/>
      <c r="R73" s="1"/>
    </row>
    <row r="74" spans="10:18" ht="12.75" customHeight="1" x14ac:dyDescent="0.25">
      <c r="J74" s="1"/>
      <c r="K74" s="1"/>
      <c r="Q74" s="1"/>
      <c r="R74" s="1"/>
    </row>
    <row r="75" spans="10:18" ht="12.75" customHeight="1" x14ac:dyDescent="0.25">
      <c r="J75" s="1"/>
      <c r="K75" s="1"/>
      <c r="Q75" s="1"/>
      <c r="R75" s="1"/>
    </row>
    <row r="76" spans="10:18" ht="12.75" customHeight="1" x14ac:dyDescent="0.25">
      <c r="J76" s="1"/>
      <c r="K76" s="1"/>
      <c r="Q76" s="1"/>
      <c r="R76" s="1"/>
    </row>
    <row r="77" spans="10:18" ht="12.75" customHeight="1" x14ac:dyDescent="0.25">
      <c r="J77" s="1"/>
      <c r="K77" s="1"/>
      <c r="Q77" s="1"/>
      <c r="R77" s="1"/>
    </row>
    <row r="78" spans="10:18" ht="12.75" customHeight="1" x14ac:dyDescent="0.25">
      <c r="J78" s="1"/>
      <c r="K78" s="1"/>
      <c r="Q78" s="1"/>
      <c r="R78" s="1"/>
    </row>
    <row r="79" spans="10:18" ht="12.75" customHeight="1" x14ac:dyDescent="0.25">
      <c r="J79" s="1"/>
      <c r="K79" s="1"/>
      <c r="Q79" s="1"/>
      <c r="R79" s="1"/>
    </row>
    <row r="80" spans="10:18" ht="12.75" customHeight="1" x14ac:dyDescent="0.25">
      <c r="J80" s="1"/>
      <c r="K80" s="1"/>
      <c r="Q80" s="1"/>
      <c r="R80" s="1"/>
    </row>
    <row r="81" spans="10:18" ht="12.75" customHeight="1" x14ac:dyDescent="0.25">
      <c r="J81" s="1"/>
      <c r="K81" s="1"/>
      <c r="Q81" s="1"/>
      <c r="R81" s="1"/>
    </row>
    <row r="82" spans="10:18" ht="12.75" customHeight="1" x14ac:dyDescent="0.25">
      <c r="J82" s="1"/>
      <c r="K82" s="1"/>
      <c r="Q82" s="1"/>
      <c r="R82" s="1"/>
    </row>
    <row r="83" spans="10:18" ht="12.75" customHeight="1" x14ac:dyDescent="0.25">
      <c r="J83" s="1"/>
      <c r="K83" s="1"/>
      <c r="Q83" s="1"/>
      <c r="R83" s="1"/>
    </row>
    <row r="84" spans="10:18" ht="12.75" customHeight="1" x14ac:dyDescent="0.25">
      <c r="J84" s="1"/>
      <c r="K84" s="1"/>
      <c r="Q84" s="1"/>
      <c r="R84" s="1"/>
    </row>
    <row r="85" spans="10:18" ht="12.75" customHeight="1" x14ac:dyDescent="0.25">
      <c r="J85" s="1"/>
      <c r="K85" s="1"/>
      <c r="Q85" s="1"/>
      <c r="R85" s="1"/>
    </row>
    <row r="86" spans="10:18" ht="12.75" customHeight="1" x14ac:dyDescent="0.25">
      <c r="J86" s="1"/>
      <c r="K86" s="1"/>
      <c r="Q86" s="1"/>
      <c r="R86" s="1"/>
    </row>
    <row r="87" spans="10:18" ht="12.75" customHeight="1" x14ac:dyDescent="0.25">
      <c r="J87" s="1"/>
      <c r="K87" s="1"/>
      <c r="Q87" s="1"/>
      <c r="R87" s="1"/>
    </row>
    <row r="88" spans="10:18" ht="12.75" customHeight="1" x14ac:dyDescent="0.25">
      <c r="J88" s="1"/>
      <c r="K88" s="1"/>
      <c r="Q88" s="1"/>
      <c r="R88" s="1"/>
    </row>
    <row r="89" spans="10:18" ht="12.75" customHeight="1" x14ac:dyDescent="0.25">
      <c r="J89" s="1"/>
      <c r="K89" s="1"/>
      <c r="Q89" s="1"/>
      <c r="R89" s="1"/>
    </row>
    <row r="90" spans="10:18" ht="12.75" customHeight="1" x14ac:dyDescent="0.25">
      <c r="J90" s="1"/>
      <c r="K90" s="1"/>
      <c r="Q90" s="1"/>
      <c r="R90" s="1"/>
    </row>
    <row r="91" spans="10:18" ht="12.75" customHeight="1" x14ac:dyDescent="0.25">
      <c r="J91" s="1"/>
      <c r="K91" s="1"/>
      <c r="Q91" s="1"/>
      <c r="R91" s="1"/>
    </row>
    <row r="92" spans="10:18" ht="12.75" customHeight="1" x14ac:dyDescent="0.25">
      <c r="J92" s="1"/>
      <c r="K92" s="1"/>
      <c r="Q92" s="1"/>
      <c r="R92" s="1"/>
    </row>
    <row r="93" spans="10:18" ht="12.75" customHeight="1" x14ac:dyDescent="0.25">
      <c r="J93" s="1"/>
      <c r="K93" s="1"/>
      <c r="Q93" s="1"/>
      <c r="R93" s="1"/>
    </row>
    <row r="94" spans="10:18" ht="12.75" customHeight="1" x14ac:dyDescent="0.25">
      <c r="J94" s="1"/>
      <c r="K94" s="1"/>
      <c r="Q94" s="1"/>
      <c r="R94" s="1"/>
    </row>
    <row r="95" spans="10:18" ht="12.75" customHeight="1" x14ac:dyDescent="0.25">
      <c r="J95" s="1"/>
      <c r="K95" s="1"/>
      <c r="Q95" s="1"/>
      <c r="R95" s="1"/>
    </row>
    <row r="96" spans="10:18" ht="12.75" customHeight="1" x14ac:dyDescent="0.25">
      <c r="J96" s="1"/>
      <c r="K96" s="1"/>
      <c r="Q96" s="1"/>
      <c r="R96" s="1"/>
    </row>
    <row r="97" spans="10:18" ht="12.75" customHeight="1" x14ac:dyDescent="0.25">
      <c r="J97" s="1"/>
      <c r="K97" s="1"/>
      <c r="Q97" s="1"/>
      <c r="R97" s="1"/>
    </row>
    <row r="98" spans="10:18" ht="12.75" customHeight="1" x14ac:dyDescent="0.25">
      <c r="J98" s="1"/>
      <c r="K98" s="1"/>
      <c r="Q98" s="1"/>
      <c r="R98" s="1"/>
    </row>
    <row r="99" spans="10:18" ht="12.75" customHeight="1" x14ac:dyDescent="0.25">
      <c r="J99" s="1"/>
      <c r="K99" s="1"/>
      <c r="Q99" s="1"/>
      <c r="R99" s="1"/>
    </row>
    <row r="100" spans="10:18" ht="12.75" customHeight="1" x14ac:dyDescent="0.25">
      <c r="J100" s="1"/>
      <c r="K100" s="1"/>
      <c r="Q100" s="1"/>
      <c r="R100" s="1"/>
    </row>
    <row r="101" spans="10:18" ht="12.75" customHeight="1" x14ac:dyDescent="0.25">
      <c r="J101" s="1"/>
      <c r="K101" s="1"/>
      <c r="Q101" s="1"/>
      <c r="R101" s="1"/>
    </row>
    <row r="102" spans="10:18" ht="12.75" customHeight="1" x14ac:dyDescent="0.25">
      <c r="J102" s="1"/>
      <c r="K102" s="1"/>
      <c r="Q102" s="1"/>
      <c r="R102" s="1"/>
    </row>
    <row r="103" spans="10:18" ht="12.75" customHeight="1" x14ac:dyDescent="0.25">
      <c r="J103" s="1"/>
      <c r="K103" s="1"/>
      <c r="Q103" s="1"/>
      <c r="R103" s="1"/>
    </row>
    <row r="104" spans="10:18" ht="12.75" customHeight="1" x14ac:dyDescent="0.25">
      <c r="J104" s="1"/>
      <c r="K104" s="1"/>
      <c r="Q104" s="1"/>
      <c r="R104" s="1"/>
    </row>
    <row r="105" spans="10:18" ht="12.75" customHeight="1" x14ac:dyDescent="0.25">
      <c r="J105" s="1"/>
      <c r="K105" s="1"/>
      <c r="Q105" s="1"/>
      <c r="R105" s="1"/>
    </row>
    <row r="106" spans="10:18" ht="12.75" customHeight="1" x14ac:dyDescent="0.25">
      <c r="J106" s="1"/>
      <c r="K106" s="1"/>
      <c r="Q106" s="1"/>
      <c r="R106" s="1"/>
    </row>
    <row r="107" spans="10:18" ht="12.75" customHeight="1" x14ac:dyDescent="0.25">
      <c r="J107" s="1"/>
      <c r="K107" s="1"/>
      <c r="Q107" s="1"/>
      <c r="R107" s="1"/>
    </row>
    <row r="108" spans="10:18" ht="12.75" customHeight="1" x14ac:dyDescent="0.25">
      <c r="J108" s="1"/>
      <c r="K108" s="1"/>
      <c r="Q108" s="1"/>
      <c r="R108" s="1"/>
    </row>
    <row r="109" spans="10:18" ht="12.75" customHeight="1" x14ac:dyDescent="0.25">
      <c r="J109" s="1"/>
      <c r="K109" s="1"/>
      <c r="Q109" s="1"/>
      <c r="R109" s="1"/>
    </row>
    <row r="110" spans="10:18" ht="12.75" customHeight="1" x14ac:dyDescent="0.25">
      <c r="J110" s="1"/>
      <c r="K110" s="1"/>
      <c r="Q110" s="1"/>
      <c r="R110" s="1"/>
    </row>
    <row r="111" spans="10:18" ht="12.75" customHeight="1" x14ac:dyDescent="0.25">
      <c r="J111" s="1"/>
      <c r="K111" s="1"/>
      <c r="Q111" s="1"/>
      <c r="R111" s="1"/>
    </row>
    <row r="112" spans="10:18" ht="12.75" customHeight="1" x14ac:dyDescent="0.25">
      <c r="J112" s="1"/>
      <c r="K112" s="1"/>
      <c r="Q112" s="1"/>
      <c r="R112" s="1"/>
    </row>
    <row r="113" spans="10:18" ht="12.75" customHeight="1" x14ac:dyDescent="0.25">
      <c r="J113" s="1"/>
      <c r="K113" s="1"/>
      <c r="Q113" s="1"/>
      <c r="R113" s="1"/>
    </row>
    <row r="114" spans="10:18" ht="12.75" customHeight="1" x14ac:dyDescent="0.25">
      <c r="J114" s="1"/>
      <c r="K114" s="1"/>
      <c r="Q114" s="1"/>
      <c r="R114" s="1"/>
    </row>
    <row r="115" spans="10:18" ht="12.75" customHeight="1" x14ac:dyDescent="0.25">
      <c r="J115" s="1"/>
      <c r="K115" s="1"/>
      <c r="Q115" s="1"/>
      <c r="R115" s="1"/>
    </row>
    <row r="116" spans="10:18" ht="12.75" customHeight="1" x14ac:dyDescent="0.25">
      <c r="J116" s="1"/>
      <c r="K116" s="1"/>
      <c r="Q116" s="1"/>
      <c r="R116" s="1"/>
    </row>
    <row r="117" spans="10:18" ht="12.75" customHeight="1" x14ac:dyDescent="0.25">
      <c r="J117" s="1"/>
      <c r="K117" s="1"/>
      <c r="Q117" s="1"/>
      <c r="R117" s="1"/>
    </row>
    <row r="118" spans="10:18" ht="12.75" customHeight="1" x14ac:dyDescent="0.25">
      <c r="J118" s="1"/>
      <c r="K118" s="1"/>
      <c r="Q118" s="1"/>
      <c r="R118" s="1"/>
    </row>
    <row r="119" spans="10:18" ht="12.75" customHeight="1" x14ac:dyDescent="0.25">
      <c r="J119" s="1"/>
      <c r="K119" s="1"/>
      <c r="Q119" s="1"/>
      <c r="R119" s="1"/>
    </row>
    <row r="120" spans="10:18" ht="12.75" customHeight="1" x14ac:dyDescent="0.25">
      <c r="J120" s="1"/>
      <c r="K120" s="1"/>
      <c r="Q120" s="1"/>
      <c r="R120" s="1"/>
    </row>
    <row r="121" spans="10:18" ht="12.75" customHeight="1" x14ac:dyDescent="0.25">
      <c r="J121" s="1"/>
      <c r="K121" s="1"/>
      <c r="Q121" s="1"/>
      <c r="R121" s="1"/>
    </row>
    <row r="122" spans="10:18" ht="12.75" customHeight="1" x14ac:dyDescent="0.25">
      <c r="J122" s="1"/>
      <c r="K122" s="1"/>
      <c r="Q122" s="1"/>
      <c r="R122" s="1"/>
    </row>
    <row r="123" spans="10:18" ht="12.75" customHeight="1" x14ac:dyDescent="0.25">
      <c r="J123" s="1"/>
      <c r="K123" s="1"/>
      <c r="Q123" s="1"/>
      <c r="R123" s="1"/>
    </row>
    <row r="124" spans="10:18" ht="12.75" customHeight="1" x14ac:dyDescent="0.25">
      <c r="J124" s="1"/>
      <c r="K124" s="1"/>
      <c r="Q124" s="1"/>
      <c r="R124" s="1"/>
    </row>
    <row r="125" spans="10:18" ht="12.75" customHeight="1" x14ac:dyDescent="0.25">
      <c r="J125" s="1"/>
      <c r="K125" s="1"/>
      <c r="Q125" s="1"/>
      <c r="R125" s="1"/>
    </row>
    <row r="126" spans="10:18" ht="12.75" customHeight="1" x14ac:dyDescent="0.25">
      <c r="J126" s="1"/>
      <c r="K126" s="1"/>
      <c r="Q126" s="1"/>
      <c r="R126" s="1"/>
    </row>
    <row r="127" spans="10:18" ht="12.75" customHeight="1" x14ac:dyDescent="0.25">
      <c r="J127" s="1"/>
      <c r="K127" s="1"/>
      <c r="Q127" s="1"/>
      <c r="R127" s="1"/>
    </row>
    <row r="128" spans="10:18" ht="12.75" customHeight="1" x14ac:dyDescent="0.25">
      <c r="J128" s="1"/>
      <c r="K128" s="1"/>
      <c r="Q128" s="1"/>
      <c r="R128" s="1"/>
    </row>
    <row r="129" spans="10:18" ht="12.75" customHeight="1" x14ac:dyDescent="0.25">
      <c r="J129" s="1"/>
      <c r="K129" s="1"/>
      <c r="Q129" s="1"/>
      <c r="R129" s="1"/>
    </row>
    <row r="130" spans="10:18" ht="12.75" customHeight="1" x14ac:dyDescent="0.25">
      <c r="J130" s="1"/>
      <c r="K130" s="1"/>
      <c r="Q130" s="1"/>
      <c r="R130" s="1"/>
    </row>
    <row r="131" spans="10:18" ht="12.75" customHeight="1" x14ac:dyDescent="0.25">
      <c r="J131" s="1"/>
      <c r="K131" s="1"/>
      <c r="Q131" s="1"/>
      <c r="R131" s="1"/>
    </row>
    <row r="132" spans="10:18" ht="12.75" customHeight="1" x14ac:dyDescent="0.25">
      <c r="J132" s="1"/>
      <c r="K132" s="1"/>
      <c r="Q132" s="1"/>
      <c r="R132" s="1"/>
    </row>
    <row r="133" spans="10:18" ht="12.75" customHeight="1" x14ac:dyDescent="0.25">
      <c r="J133" s="1"/>
      <c r="K133" s="1"/>
      <c r="Q133" s="1"/>
      <c r="R133" s="1"/>
    </row>
    <row r="134" spans="10:18" ht="12.75" customHeight="1" x14ac:dyDescent="0.25">
      <c r="J134" s="1"/>
      <c r="K134" s="1"/>
      <c r="Q134" s="1"/>
      <c r="R134" s="1"/>
    </row>
    <row r="135" spans="10:18" ht="12.75" customHeight="1" x14ac:dyDescent="0.25">
      <c r="J135" s="1"/>
      <c r="K135" s="1"/>
      <c r="Q135" s="1"/>
      <c r="R135" s="1"/>
    </row>
    <row r="136" spans="10:18" ht="12.75" customHeight="1" x14ac:dyDescent="0.25">
      <c r="J136" s="1"/>
      <c r="K136" s="1"/>
      <c r="Q136" s="1"/>
      <c r="R136" s="1"/>
    </row>
    <row r="137" spans="10:18" ht="12.75" customHeight="1" x14ac:dyDescent="0.25">
      <c r="J137" s="1"/>
      <c r="K137" s="1"/>
      <c r="Q137" s="1"/>
      <c r="R137" s="1"/>
    </row>
    <row r="138" spans="10:18" ht="12.75" customHeight="1" x14ac:dyDescent="0.25">
      <c r="J138" s="1"/>
      <c r="K138" s="1"/>
      <c r="Q138" s="1"/>
      <c r="R138" s="1"/>
    </row>
    <row r="139" spans="10:18" ht="12.75" customHeight="1" x14ac:dyDescent="0.25">
      <c r="J139" s="1"/>
      <c r="K139" s="1"/>
      <c r="Q139" s="1"/>
      <c r="R139" s="1"/>
    </row>
    <row r="140" spans="10:18" ht="12.75" customHeight="1" x14ac:dyDescent="0.25">
      <c r="J140" s="1"/>
      <c r="K140" s="1"/>
      <c r="Q140" s="1"/>
      <c r="R140" s="1"/>
    </row>
    <row r="141" spans="10:18" ht="12.75" customHeight="1" x14ac:dyDescent="0.25">
      <c r="J141" s="1"/>
      <c r="K141" s="1"/>
      <c r="Q141" s="1"/>
      <c r="R141" s="1"/>
    </row>
    <row r="142" spans="10:18" ht="12.75" customHeight="1" x14ac:dyDescent="0.25">
      <c r="J142" s="1"/>
      <c r="K142" s="1"/>
      <c r="Q142" s="1"/>
      <c r="R142" s="1"/>
    </row>
    <row r="143" spans="10:18" ht="12.75" customHeight="1" x14ac:dyDescent="0.25">
      <c r="J143" s="1"/>
      <c r="K143" s="1"/>
      <c r="Q143" s="1"/>
      <c r="R143" s="1"/>
    </row>
    <row r="144" spans="10:18" ht="12.75" customHeight="1" x14ac:dyDescent="0.25">
      <c r="J144" s="1"/>
      <c r="K144" s="1"/>
      <c r="Q144" s="1"/>
      <c r="R144" s="1"/>
    </row>
    <row r="145" spans="10:18" ht="12.75" customHeight="1" x14ac:dyDescent="0.25">
      <c r="J145" s="1"/>
      <c r="K145" s="1"/>
      <c r="Q145" s="1"/>
      <c r="R145" s="1"/>
    </row>
    <row r="146" spans="10:18" ht="12.75" customHeight="1" x14ac:dyDescent="0.25">
      <c r="J146" s="1"/>
      <c r="K146" s="1"/>
      <c r="Q146" s="1"/>
      <c r="R146" s="1"/>
    </row>
    <row r="147" spans="10:18" ht="12.75" customHeight="1" x14ac:dyDescent="0.25">
      <c r="J147" s="1"/>
      <c r="K147" s="1"/>
      <c r="Q147" s="1"/>
      <c r="R147" s="1"/>
    </row>
    <row r="148" spans="10:18" ht="12.75" customHeight="1" x14ac:dyDescent="0.25">
      <c r="J148" s="1"/>
      <c r="K148" s="1"/>
      <c r="Q148" s="1"/>
      <c r="R148" s="1"/>
    </row>
    <row r="149" spans="10:18" ht="12.75" customHeight="1" x14ac:dyDescent="0.25">
      <c r="J149" s="1"/>
      <c r="K149" s="1"/>
      <c r="Q149" s="1"/>
      <c r="R149" s="1"/>
    </row>
    <row r="150" spans="10:18" ht="12.75" customHeight="1" x14ac:dyDescent="0.25">
      <c r="J150" s="1"/>
      <c r="K150" s="1"/>
      <c r="Q150" s="1"/>
      <c r="R150" s="1"/>
    </row>
    <row r="151" spans="10:18" ht="12.75" customHeight="1" x14ac:dyDescent="0.25">
      <c r="J151" s="1"/>
      <c r="K151" s="1"/>
      <c r="Q151" s="1"/>
      <c r="R151" s="1"/>
    </row>
    <row r="152" spans="10:18" ht="12.75" customHeight="1" x14ac:dyDescent="0.25">
      <c r="J152" s="1"/>
      <c r="K152" s="1"/>
      <c r="Q152" s="1"/>
      <c r="R152" s="1"/>
    </row>
    <row r="153" spans="10:18" ht="12.75" customHeight="1" x14ac:dyDescent="0.25">
      <c r="J153" s="1"/>
      <c r="K153" s="1"/>
      <c r="Q153" s="1"/>
      <c r="R153" s="1"/>
    </row>
    <row r="154" spans="10:18" ht="12.75" customHeight="1" x14ac:dyDescent="0.25">
      <c r="J154" s="1"/>
      <c r="K154" s="1"/>
      <c r="Q154" s="1"/>
      <c r="R154" s="1"/>
    </row>
    <row r="155" spans="10:18" ht="12.75" customHeight="1" x14ac:dyDescent="0.25">
      <c r="J155" s="1"/>
      <c r="K155" s="1"/>
      <c r="Q155" s="1"/>
      <c r="R155" s="1"/>
    </row>
    <row r="156" spans="10:18" ht="12.75" customHeight="1" x14ac:dyDescent="0.25">
      <c r="J156" s="1"/>
      <c r="K156" s="1"/>
      <c r="Q156" s="1"/>
      <c r="R156" s="1"/>
    </row>
    <row r="157" spans="10:18" ht="12.75" customHeight="1" x14ac:dyDescent="0.25">
      <c r="J157" s="1"/>
      <c r="K157" s="1"/>
      <c r="Q157" s="1"/>
      <c r="R157" s="1"/>
    </row>
    <row r="158" spans="10:18" ht="12.75" customHeight="1" x14ac:dyDescent="0.25">
      <c r="J158" s="1"/>
      <c r="K158" s="1"/>
      <c r="Q158" s="1"/>
      <c r="R158" s="1"/>
    </row>
    <row r="159" spans="10:18" ht="12.75" customHeight="1" x14ac:dyDescent="0.25">
      <c r="J159" s="1"/>
      <c r="K159" s="1"/>
      <c r="Q159" s="1"/>
      <c r="R159" s="1"/>
    </row>
    <row r="160" spans="10:18" ht="12.75" customHeight="1" x14ac:dyDescent="0.25">
      <c r="J160" s="1"/>
      <c r="K160" s="1"/>
      <c r="Q160" s="1"/>
      <c r="R160" s="1"/>
    </row>
    <row r="161" spans="10:18" ht="12.75" customHeight="1" x14ac:dyDescent="0.25">
      <c r="J161" s="1"/>
      <c r="K161" s="1"/>
      <c r="Q161" s="1"/>
      <c r="R161" s="1"/>
    </row>
    <row r="162" spans="10:18" ht="12.75" customHeight="1" x14ac:dyDescent="0.25">
      <c r="J162" s="1"/>
      <c r="K162" s="1"/>
      <c r="Q162" s="1"/>
      <c r="R162" s="1"/>
    </row>
    <row r="163" spans="10:18" ht="12.75" customHeight="1" x14ac:dyDescent="0.25">
      <c r="J163" s="1"/>
      <c r="K163" s="1"/>
      <c r="Q163" s="1"/>
      <c r="R163" s="1"/>
    </row>
    <row r="164" spans="10:18" ht="12.75" customHeight="1" x14ac:dyDescent="0.25">
      <c r="J164" s="1"/>
      <c r="K164" s="1"/>
      <c r="Q164" s="1"/>
      <c r="R164" s="1"/>
    </row>
    <row r="165" spans="10:18" ht="12.75" customHeight="1" x14ac:dyDescent="0.25">
      <c r="J165" s="1"/>
      <c r="K165" s="1"/>
      <c r="Q165" s="1"/>
      <c r="R165" s="1"/>
    </row>
    <row r="166" spans="10:18" ht="12.75" customHeight="1" x14ac:dyDescent="0.25">
      <c r="J166" s="1"/>
      <c r="K166" s="1"/>
      <c r="Q166" s="1"/>
      <c r="R166" s="1"/>
    </row>
    <row r="167" spans="10:18" ht="12.75" customHeight="1" x14ac:dyDescent="0.25">
      <c r="J167" s="1"/>
      <c r="K167" s="1"/>
      <c r="Q167" s="1"/>
      <c r="R167" s="1"/>
    </row>
    <row r="168" spans="10:18" ht="12.75" customHeight="1" x14ac:dyDescent="0.25">
      <c r="J168" s="1"/>
      <c r="K168" s="1"/>
      <c r="Q168" s="1"/>
      <c r="R168" s="1"/>
    </row>
    <row r="169" spans="10:18" ht="12.75" customHeight="1" x14ac:dyDescent="0.25">
      <c r="J169" s="1"/>
      <c r="K169" s="1"/>
      <c r="Q169" s="1"/>
      <c r="R169" s="1"/>
    </row>
    <row r="170" spans="10:18" ht="12.75" customHeight="1" x14ac:dyDescent="0.25">
      <c r="J170" s="1"/>
      <c r="K170" s="1"/>
      <c r="Q170" s="1"/>
      <c r="R170" s="1"/>
    </row>
    <row r="171" spans="10:18" ht="12.75" customHeight="1" x14ac:dyDescent="0.25">
      <c r="J171" s="1"/>
      <c r="K171" s="1"/>
      <c r="Q171" s="1"/>
      <c r="R171" s="1"/>
    </row>
    <row r="172" spans="10:18" ht="12.75" customHeight="1" x14ac:dyDescent="0.25">
      <c r="J172" s="1"/>
      <c r="K172" s="1"/>
      <c r="Q172" s="1"/>
      <c r="R172" s="1"/>
    </row>
    <row r="173" spans="10:18" ht="12.75" customHeight="1" x14ac:dyDescent="0.25">
      <c r="J173" s="1"/>
      <c r="K173" s="1"/>
      <c r="Q173" s="1"/>
      <c r="R173" s="1"/>
    </row>
    <row r="174" spans="10:18" ht="12.75" customHeight="1" x14ac:dyDescent="0.25">
      <c r="J174" s="1"/>
      <c r="K174" s="1"/>
      <c r="Q174" s="1"/>
      <c r="R174" s="1"/>
    </row>
    <row r="175" spans="10:18" ht="12.75" customHeight="1" x14ac:dyDescent="0.25">
      <c r="J175" s="1"/>
      <c r="K175" s="1"/>
      <c r="Q175" s="1"/>
      <c r="R175" s="1"/>
    </row>
    <row r="176" spans="10:18" ht="12.75" customHeight="1" x14ac:dyDescent="0.25">
      <c r="J176" s="1"/>
      <c r="K176" s="1"/>
      <c r="Q176" s="1"/>
      <c r="R176" s="1"/>
    </row>
    <row r="177" spans="10:18" ht="12.75" customHeight="1" x14ac:dyDescent="0.25">
      <c r="J177" s="1"/>
      <c r="K177" s="1"/>
      <c r="Q177" s="1"/>
      <c r="R177" s="1"/>
    </row>
    <row r="178" spans="10:18" ht="12.75" customHeight="1" x14ac:dyDescent="0.25">
      <c r="J178" s="1"/>
      <c r="K178" s="1"/>
      <c r="Q178" s="1"/>
      <c r="R178" s="1"/>
    </row>
    <row r="179" spans="10:18" ht="12.75" customHeight="1" x14ac:dyDescent="0.25">
      <c r="J179" s="1"/>
      <c r="K179" s="1"/>
      <c r="Q179" s="1"/>
      <c r="R179" s="1"/>
    </row>
    <row r="180" spans="10:18" ht="12.75" customHeight="1" x14ac:dyDescent="0.25">
      <c r="J180" s="1"/>
      <c r="K180" s="1"/>
      <c r="Q180" s="1"/>
      <c r="R180" s="1"/>
    </row>
    <row r="181" spans="10:18" ht="12.75" customHeight="1" x14ac:dyDescent="0.25">
      <c r="J181" s="1"/>
      <c r="K181" s="1"/>
      <c r="Q181" s="1"/>
      <c r="R181" s="1"/>
    </row>
    <row r="182" spans="10:18" ht="12.75" customHeight="1" x14ac:dyDescent="0.25">
      <c r="J182" s="1"/>
      <c r="K182" s="1"/>
      <c r="Q182" s="1"/>
      <c r="R182" s="1"/>
    </row>
    <row r="183" spans="10:18" ht="12.75" customHeight="1" x14ac:dyDescent="0.25">
      <c r="J183" s="1"/>
      <c r="K183" s="1"/>
      <c r="Q183" s="1"/>
      <c r="R183" s="1"/>
    </row>
    <row r="184" spans="10:18" ht="12.75" customHeight="1" x14ac:dyDescent="0.25">
      <c r="J184" s="1"/>
      <c r="K184" s="1"/>
      <c r="Q184" s="1"/>
      <c r="R184" s="1"/>
    </row>
    <row r="185" spans="10:18" ht="12.75" customHeight="1" x14ac:dyDescent="0.25">
      <c r="J185" s="1"/>
      <c r="K185" s="1"/>
      <c r="Q185" s="1"/>
      <c r="R185" s="1"/>
    </row>
    <row r="186" spans="10:18" ht="12.75" customHeight="1" x14ac:dyDescent="0.25">
      <c r="J186" s="1"/>
      <c r="K186" s="1"/>
      <c r="Q186" s="1"/>
      <c r="R186" s="1"/>
    </row>
    <row r="187" spans="10:18" ht="12.75" customHeight="1" x14ac:dyDescent="0.25">
      <c r="J187" s="1"/>
      <c r="K187" s="1"/>
      <c r="Q187" s="1"/>
      <c r="R187" s="1"/>
    </row>
    <row r="188" spans="10:18" ht="12.75" customHeight="1" x14ac:dyDescent="0.25">
      <c r="J188" s="1"/>
      <c r="K188" s="1"/>
      <c r="Q188" s="1"/>
      <c r="R188" s="1"/>
    </row>
    <row r="189" spans="10:18" ht="12.75" customHeight="1" x14ac:dyDescent="0.25">
      <c r="J189" s="1"/>
      <c r="K189" s="1"/>
      <c r="Q189" s="1"/>
      <c r="R189" s="1"/>
    </row>
    <row r="190" spans="10:18" ht="12.75" customHeight="1" x14ac:dyDescent="0.25">
      <c r="J190" s="1"/>
      <c r="K190" s="1"/>
      <c r="Q190" s="1"/>
      <c r="R190" s="1"/>
    </row>
    <row r="191" spans="10:18" ht="12.75" customHeight="1" x14ac:dyDescent="0.25">
      <c r="J191" s="1"/>
      <c r="K191" s="1"/>
      <c r="Q191" s="1"/>
      <c r="R191" s="1"/>
    </row>
    <row r="192" spans="10:18" ht="12.75" customHeight="1" x14ac:dyDescent="0.25">
      <c r="J192" s="1"/>
      <c r="K192" s="1"/>
      <c r="Q192" s="1"/>
      <c r="R192" s="1"/>
    </row>
    <row r="193" spans="10:18" ht="12.75" customHeight="1" x14ac:dyDescent="0.25">
      <c r="J193" s="1"/>
      <c r="K193" s="1"/>
      <c r="Q193" s="1"/>
      <c r="R193" s="1"/>
    </row>
    <row r="194" spans="10:18" ht="12.75" customHeight="1" x14ac:dyDescent="0.25">
      <c r="J194" s="1"/>
      <c r="K194" s="1"/>
      <c r="Q194" s="1"/>
      <c r="R194" s="1"/>
    </row>
    <row r="195" spans="10:18" ht="12.75" customHeight="1" x14ac:dyDescent="0.25">
      <c r="J195" s="1"/>
      <c r="K195" s="1"/>
      <c r="Q195" s="1"/>
      <c r="R195" s="1"/>
    </row>
    <row r="196" spans="10:18" ht="12.75" customHeight="1" x14ac:dyDescent="0.25">
      <c r="J196" s="1"/>
      <c r="K196" s="1"/>
      <c r="Q196" s="1"/>
      <c r="R196" s="1"/>
    </row>
    <row r="197" spans="10:18" ht="12.75" customHeight="1" x14ac:dyDescent="0.25">
      <c r="J197" s="1"/>
      <c r="K197" s="1"/>
      <c r="Q197" s="1"/>
      <c r="R197" s="1"/>
    </row>
    <row r="198" spans="10:18" ht="12.75" customHeight="1" x14ac:dyDescent="0.25">
      <c r="J198" s="1"/>
      <c r="K198" s="1"/>
      <c r="Q198" s="1"/>
      <c r="R198" s="1"/>
    </row>
    <row r="199" spans="10:18" ht="12.75" customHeight="1" x14ac:dyDescent="0.25">
      <c r="J199" s="1"/>
      <c r="K199" s="1"/>
      <c r="Q199" s="1"/>
      <c r="R199" s="1"/>
    </row>
    <row r="200" spans="10:18" ht="12.75" customHeight="1" x14ac:dyDescent="0.25">
      <c r="J200" s="1"/>
      <c r="K200" s="1"/>
      <c r="Q200" s="1"/>
      <c r="R200" s="1"/>
    </row>
    <row r="201" spans="10:18" ht="12.75" customHeight="1" x14ac:dyDescent="0.25">
      <c r="J201" s="1"/>
      <c r="K201" s="1"/>
      <c r="Q201" s="1"/>
      <c r="R201" s="1"/>
    </row>
    <row r="202" spans="10:18" ht="12.75" customHeight="1" x14ac:dyDescent="0.25">
      <c r="J202" s="1"/>
      <c r="K202" s="1"/>
      <c r="Q202" s="1"/>
      <c r="R202" s="1"/>
    </row>
    <row r="203" spans="10:18" ht="12.75" customHeight="1" x14ac:dyDescent="0.25">
      <c r="J203" s="1"/>
      <c r="K203" s="1"/>
      <c r="Q203" s="1"/>
      <c r="R203" s="1"/>
    </row>
    <row r="204" spans="10:18" ht="12.75" customHeight="1" x14ac:dyDescent="0.25">
      <c r="J204" s="1"/>
      <c r="K204" s="1"/>
      <c r="Q204" s="1"/>
      <c r="R204" s="1"/>
    </row>
    <row r="205" spans="10:18" ht="12.75" customHeight="1" x14ac:dyDescent="0.25">
      <c r="J205" s="1"/>
      <c r="K205" s="1"/>
      <c r="Q205" s="1"/>
      <c r="R205" s="1"/>
    </row>
    <row r="206" spans="10:18" ht="12.75" customHeight="1" x14ac:dyDescent="0.25">
      <c r="J206" s="1"/>
      <c r="K206" s="1"/>
      <c r="Q206" s="1"/>
      <c r="R206" s="1"/>
    </row>
    <row r="207" spans="10:18" ht="12.75" customHeight="1" x14ac:dyDescent="0.25">
      <c r="J207" s="1"/>
      <c r="K207" s="1"/>
      <c r="Q207" s="1"/>
      <c r="R207" s="1"/>
    </row>
    <row r="208" spans="10:18" ht="12.75" customHeight="1" x14ac:dyDescent="0.25">
      <c r="J208" s="1"/>
      <c r="K208" s="1"/>
      <c r="Q208" s="1"/>
      <c r="R208" s="1"/>
    </row>
    <row r="209" spans="10:18" ht="12.75" customHeight="1" x14ac:dyDescent="0.25">
      <c r="J209" s="1"/>
      <c r="K209" s="1"/>
      <c r="Q209" s="1"/>
      <c r="R209" s="1"/>
    </row>
    <row r="210" spans="10:18" ht="12.75" customHeight="1" x14ac:dyDescent="0.25">
      <c r="J210" s="1"/>
      <c r="K210" s="1"/>
      <c r="Q210" s="1"/>
      <c r="R210" s="1"/>
    </row>
    <row r="211" spans="10:18" ht="12.75" customHeight="1" x14ac:dyDescent="0.25">
      <c r="J211" s="1"/>
      <c r="K211" s="1"/>
      <c r="Q211" s="1"/>
      <c r="R211" s="1"/>
    </row>
    <row r="212" spans="10:18" ht="12.75" customHeight="1" x14ac:dyDescent="0.25">
      <c r="J212" s="1"/>
      <c r="K212" s="1"/>
      <c r="Q212" s="1"/>
      <c r="R212" s="1"/>
    </row>
    <row r="213" spans="10:18" ht="12.75" customHeight="1" x14ac:dyDescent="0.25">
      <c r="J213" s="1"/>
      <c r="K213" s="1"/>
      <c r="Q213" s="1"/>
      <c r="R213" s="1"/>
    </row>
    <row r="214" spans="10:18" ht="12.75" customHeight="1" x14ac:dyDescent="0.25">
      <c r="J214" s="1"/>
      <c r="K214" s="1"/>
      <c r="Q214" s="1"/>
      <c r="R214" s="1"/>
    </row>
    <row r="215" spans="10:18" ht="12.75" customHeight="1" x14ac:dyDescent="0.25">
      <c r="J215" s="1"/>
      <c r="K215" s="1"/>
      <c r="Q215" s="1"/>
      <c r="R215" s="1"/>
    </row>
    <row r="216" spans="10:18" ht="12.75" customHeight="1" x14ac:dyDescent="0.25">
      <c r="J216" s="1"/>
      <c r="K216" s="1"/>
      <c r="Q216" s="1"/>
      <c r="R216" s="1"/>
    </row>
    <row r="217" spans="10:18" ht="12.75" customHeight="1" x14ac:dyDescent="0.25">
      <c r="J217" s="1"/>
      <c r="K217" s="1"/>
      <c r="Q217" s="1"/>
      <c r="R217" s="1"/>
    </row>
    <row r="218" spans="10:18" ht="12.75" customHeight="1" x14ac:dyDescent="0.25">
      <c r="J218" s="1"/>
      <c r="K218" s="1"/>
      <c r="Q218" s="1"/>
      <c r="R218" s="1"/>
    </row>
    <row r="219" spans="10:18" ht="12.75" customHeight="1" x14ac:dyDescent="0.25">
      <c r="J219" s="1"/>
      <c r="K219" s="1"/>
      <c r="Q219" s="1"/>
      <c r="R219" s="1"/>
    </row>
    <row r="220" spans="10:18" ht="12.75" customHeight="1" x14ac:dyDescent="0.25">
      <c r="J220" s="1"/>
      <c r="K220" s="1"/>
      <c r="Q220" s="1"/>
      <c r="R220" s="1"/>
    </row>
    <row r="221" spans="10:18" ht="12.75" customHeight="1" x14ac:dyDescent="0.25">
      <c r="J221" s="1"/>
      <c r="K221" s="1"/>
      <c r="Q221" s="1"/>
      <c r="R221" s="1"/>
    </row>
    <row r="222" spans="10:18" ht="12.75" customHeight="1" x14ac:dyDescent="0.25">
      <c r="J222" s="1"/>
      <c r="K222" s="1"/>
      <c r="Q222" s="1"/>
      <c r="R222" s="1"/>
    </row>
    <row r="223" spans="10:18" ht="12.75" customHeight="1" x14ac:dyDescent="0.25">
      <c r="J223" s="1"/>
      <c r="K223" s="1"/>
      <c r="Q223" s="1"/>
      <c r="R223" s="1"/>
    </row>
    <row r="224" spans="10:18" ht="12.75" customHeight="1" x14ac:dyDescent="0.25">
      <c r="J224" s="1"/>
      <c r="K224" s="1"/>
      <c r="Q224" s="1"/>
      <c r="R224" s="1"/>
    </row>
    <row r="225" spans="10:18" ht="12.75" customHeight="1" x14ac:dyDescent="0.25">
      <c r="J225" s="1"/>
      <c r="K225" s="1"/>
      <c r="Q225" s="1"/>
      <c r="R225" s="1"/>
    </row>
    <row r="226" spans="10:18" ht="12.75" customHeight="1" x14ac:dyDescent="0.25">
      <c r="J226" s="1"/>
      <c r="K226" s="1"/>
      <c r="Q226" s="1"/>
      <c r="R226" s="1"/>
    </row>
    <row r="227" spans="10:18" ht="12.75" customHeight="1" x14ac:dyDescent="0.25">
      <c r="J227" s="1"/>
      <c r="K227" s="1"/>
      <c r="Q227" s="1"/>
      <c r="R227" s="1"/>
    </row>
    <row r="228" spans="10:18" ht="12.75" customHeight="1" x14ac:dyDescent="0.25">
      <c r="J228" s="1"/>
      <c r="K228" s="1"/>
      <c r="Q228" s="1"/>
      <c r="R228" s="1"/>
    </row>
    <row r="229" spans="10:18" ht="12.75" customHeight="1" x14ac:dyDescent="0.25">
      <c r="J229" s="1"/>
      <c r="K229" s="1"/>
      <c r="Q229" s="1"/>
      <c r="R229" s="1"/>
    </row>
    <row r="230" spans="10:18" ht="12.75" customHeight="1" x14ac:dyDescent="0.25">
      <c r="J230" s="1"/>
      <c r="K230" s="1"/>
      <c r="Q230" s="1"/>
      <c r="R230" s="1"/>
    </row>
    <row r="231" spans="10:18" ht="12.75" customHeight="1" x14ac:dyDescent="0.25">
      <c r="J231" s="1"/>
      <c r="K231" s="1"/>
      <c r="Q231" s="1"/>
      <c r="R231" s="1"/>
    </row>
    <row r="232" spans="10:18" ht="12.75" customHeight="1" x14ac:dyDescent="0.25">
      <c r="J232" s="1"/>
      <c r="K232" s="1"/>
      <c r="Q232" s="1"/>
      <c r="R232" s="1"/>
    </row>
    <row r="233" spans="10:18" ht="12.75" customHeight="1" x14ac:dyDescent="0.25">
      <c r="J233" s="1"/>
      <c r="K233" s="1"/>
      <c r="Q233" s="1"/>
      <c r="R233" s="1"/>
    </row>
    <row r="234" spans="10:18" ht="12.75" customHeight="1" x14ac:dyDescent="0.25">
      <c r="J234" s="1"/>
      <c r="K234" s="1"/>
      <c r="Q234" s="1"/>
      <c r="R234" s="1"/>
    </row>
    <row r="235" spans="10:18" ht="12.75" customHeight="1" x14ac:dyDescent="0.25">
      <c r="J235" s="1"/>
      <c r="K235" s="1"/>
      <c r="Q235" s="1"/>
      <c r="R235" s="1"/>
    </row>
    <row r="236" spans="10:18" ht="12.75" customHeight="1" x14ac:dyDescent="0.25">
      <c r="J236" s="1"/>
      <c r="K236" s="1"/>
      <c r="Q236" s="1"/>
      <c r="R236" s="1"/>
    </row>
    <row r="237" spans="10:18" ht="12.75" customHeight="1" x14ac:dyDescent="0.25">
      <c r="J237" s="1"/>
      <c r="K237" s="1"/>
      <c r="Q237" s="1"/>
      <c r="R237" s="1"/>
    </row>
    <row r="238" spans="10:18" ht="12.75" customHeight="1" x14ac:dyDescent="0.25">
      <c r="J238" s="1"/>
      <c r="K238" s="1"/>
      <c r="Q238" s="1"/>
      <c r="R238" s="1"/>
    </row>
    <row r="239" spans="10:18" ht="12.75" customHeight="1" x14ac:dyDescent="0.25">
      <c r="J239" s="1"/>
      <c r="K239" s="1"/>
      <c r="Q239" s="1"/>
      <c r="R239" s="1"/>
    </row>
    <row r="240" spans="10:18" ht="12.75" customHeight="1" x14ac:dyDescent="0.25">
      <c r="J240" s="1"/>
      <c r="K240" s="1"/>
      <c r="Q240" s="1"/>
      <c r="R240" s="1"/>
    </row>
    <row r="241" spans="10:18" ht="12.75" customHeight="1" x14ac:dyDescent="0.25">
      <c r="J241" s="1"/>
      <c r="K241" s="1"/>
      <c r="Q241" s="1"/>
      <c r="R241" s="1"/>
    </row>
    <row r="242" spans="10:18" ht="12.75" customHeight="1" x14ac:dyDescent="0.25">
      <c r="J242" s="1"/>
      <c r="K242" s="1"/>
      <c r="Q242" s="1"/>
      <c r="R242" s="1"/>
    </row>
    <row r="243" spans="10:18" ht="12.75" customHeight="1" x14ac:dyDescent="0.25">
      <c r="J243" s="1"/>
      <c r="K243" s="1"/>
      <c r="Q243" s="1"/>
      <c r="R243" s="1"/>
    </row>
    <row r="244" spans="10:18" ht="12.75" customHeight="1" x14ac:dyDescent="0.25">
      <c r="J244" s="1"/>
      <c r="K244" s="1"/>
      <c r="Q244" s="1"/>
      <c r="R244" s="1"/>
    </row>
    <row r="245" spans="10:18" ht="12.75" customHeight="1" x14ac:dyDescent="0.25">
      <c r="J245" s="1"/>
      <c r="K245" s="1"/>
      <c r="Q245" s="1"/>
      <c r="R245" s="1"/>
    </row>
    <row r="246" spans="10:18" ht="12.75" customHeight="1" x14ac:dyDescent="0.25">
      <c r="J246" s="1"/>
      <c r="K246" s="1"/>
      <c r="Q246" s="1"/>
      <c r="R246" s="1"/>
    </row>
    <row r="247" spans="10:18" ht="12.75" customHeight="1" x14ac:dyDescent="0.25">
      <c r="J247" s="1"/>
      <c r="K247" s="1"/>
      <c r="Q247" s="1"/>
      <c r="R247" s="1"/>
    </row>
    <row r="248" spans="10:18" ht="12.75" customHeight="1" x14ac:dyDescent="0.25">
      <c r="J248" s="1"/>
      <c r="K248" s="1"/>
      <c r="Q248" s="1"/>
      <c r="R248" s="1"/>
    </row>
    <row r="249" spans="10:18" ht="12.75" customHeight="1" x14ac:dyDescent="0.25">
      <c r="J249" s="1"/>
      <c r="K249" s="1"/>
      <c r="Q249" s="1"/>
      <c r="R249" s="1"/>
    </row>
    <row r="250" spans="10:18" ht="12.75" customHeight="1" x14ac:dyDescent="0.25">
      <c r="J250" s="1"/>
      <c r="K250" s="1"/>
      <c r="Q250" s="1"/>
      <c r="R250" s="1"/>
    </row>
    <row r="251" spans="10:18" ht="12.75" customHeight="1" x14ac:dyDescent="0.25">
      <c r="J251" s="1"/>
      <c r="K251" s="1"/>
      <c r="Q251" s="1"/>
      <c r="R251" s="1"/>
    </row>
    <row r="252" spans="10:18" ht="12.75" customHeight="1" x14ac:dyDescent="0.25">
      <c r="J252" s="1"/>
      <c r="K252" s="1"/>
      <c r="Q252" s="1"/>
      <c r="R252" s="1"/>
    </row>
    <row r="253" spans="10:18" ht="12.75" customHeight="1" x14ac:dyDescent="0.25">
      <c r="J253" s="1"/>
      <c r="K253" s="1"/>
      <c r="Q253" s="1"/>
      <c r="R253" s="1"/>
    </row>
    <row r="254" spans="10:18" ht="12.75" customHeight="1" x14ac:dyDescent="0.25">
      <c r="J254" s="1"/>
      <c r="K254" s="1"/>
      <c r="Q254" s="1"/>
      <c r="R254" s="1"/>
    </row>
    <row r="255" spans="10:18" ht="12.75" customHeight="1" x14ac:dyDescent="0.25">
      <c r="J255" s="1"/>
      <c r="K255" s="1"/>
      <c r="Q255" s="1"/>
      <c r="R255" s="1"/>
    </row>
    <row r="256" spans="10:18" ht="12.75" customHeight="1" x14ac:dyDescent="0.25">
      <c r="J256" s="1"/>
      <c r="K256" s="1"/>
      <c r="Q256" s="1"/>
      <c r="R256" s="1"/>
    </row>
    <row r="257" spans="10:18" ht="12.75" customHeight="1" x14ac:dyDescent="0.25">
      <c r="J257" s="1"/>
      <c r="K257" s="1"/>
      <c r="Q257" s="1"/>
      <c r="R257" s="1"/>
    </row>
  </sheetData>
  <mergeCells count="4">
    <mergeCell ref="Q5:R5"/>
    <mergeCell ref="N5:O5"/>
    <mergeCell ref="G5:H5"/>
    <mergeCell ref="J5:K5"/>
  </mergeCells>
  <conditionalFormatting sqref="K9:K18 R9:R18">
    <cfRule type="cellIs" dxfId="20" priority="1" operator="equal">
      <formula>""""""</formula>
    </cfRule>
    <cfRule type="cellIs" dxfId="19" priority="2" operator="equal">
      <formula>0</formula>
    </cfRule>
    <cfRule type="cellIs" dxfId="18" priority="3" operator="lessThan">
      <formula>0</formula>
    </cfRule>
    <cfRule type="cellIs" dxfId="17" priority="4" operator="greaterThan">
      <formula>0</formula>
    </cfRule>
  </conditionalFormatting>
  <dataValidations count="1">
    <dataValidation type="list" allowBlank="1" showInputMessage="1" showErrorMessage="1" sqref="C9:C19">
      <formula1>"Entrée,Sortie"</formula1>
    </dataValidation>
  </dataValidations>
  <hyperlinks>
    <hyperlink ref="R1" location="Accueil!A1" tooltip="Menu" display="Menu"/>
  </hyperlinks>
  <pageMargins left="0.23622047244094491" right="0.23622047244094491" top="0.74803149606299213" bottom="0.74803149606299213" header="0.31496062992125984" footer="0.31496062992125984"/>
  <pageSetup scale="70" fitToHeight="0" orientation="landscape" r:id="rId1"/>
  <headerFooter>
    <oddFooter>&amp;L&amp;F / &amp;A&amp;C&amp;P/&amp;N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tabColor rgb="FFFFFF00"/>
    <pageSetUpPr fitToPage="1"/>
  </sheetPr>
  <dimension ref="A1:S335"/>
  <sheetViews>
    <sheetView zoomScale="115" zoomScaleNormal="115" workbookViewId="0">
      <pane ySplit="3" topLeftCell="A22" activePane="bottomLeft" state="frozen"/>
      <selection activeCell="Q3" sqref="Q3:R3"/>
      <selection pane="bottomLeft" activeCell="C33" sqref="C33"/>
    </sheetView>
  </sheetViews>
  <sheetFormatPr baseColWidth="10" defaultColWidth="12.5546875" defaultRowHeight="15" customHeight="1" outlineLevelRow="1" x14ac:dyDescent="0.25"/>
  <cols>
    <col min="1" max="1" width="2.109375" customWidth="1"/>
    <col min="2" max="2" width="13.44140625" style="9" customWidth="1"/>
    <col min="3" max="3" width="8.88671875" style="10" customWidth="1"/>
    <col min="4" max="4" width="11.44140625" style="143" customWidth="1"/>
    <col min="5" max="5" width="21.44140625" customWidth="1"/>
    <col min="6" max="6" width="18.33203125" customWidth="1"/>
    <col min="7" max="7" width="9.5546875" customWidth="1"/>
    <col min="8" max="8" width="11.5546875" customWidth="1"/>
    <col min="9" max="9" width="0.88671875" customWidth="1"/>
    <col min="10" max="10" width="10.44140625" customWidth="1"/>
    <col min="11" max="11" width="7.44140625" customWidth="1"/>
    <col min="12" max="12" width="1.109375" customWidth="1"/>
    <col min="13" max="13" width="3.5546875" customWidth="1"/>
    <col min="14" max="14" width="9.5546875" customWidth="1"/>
    <col min="15" max="15" width="11.5546875" customWidth="1"/>
    <col min="16" max="16" width="0.88671875" customWidth="1"/>
    <col min="17" max="17" width="8.88671875" customWidth="1"/>
    <col min="18" max="18" width="8.44140625" bestFit="1" customWidth="1"/>
    <col min="19" max="19" width="1.109375" customWidth="1"/>
    <col min="20" max="20" width="25.5546875" customWidth="1"/>
    <col min="21" max="27" width="10" customWidth="1"/>
  </cols>
  <sheetData>
    <row r="1" spans="2:18" ht="12.75" customHeight="1" x14ac:dyDescent="0.25">
      <c r="B1" s="8" t="s">
        <v>22</v>
      </c>
      <c r="K1" s="45" t="s">
        <v>10</v>
      </c>
      <c r="R1" s="91" t="s">
        <v>36</v>
      </c>
    </row>
    <row r="2" spans="2:18" ht="12.75" customHeight="1" x14ac:dyDescent="0.25"/>
    <row r="3" spans="2:18" ht="23.25" customHeight="1" x14ac:dyDescent="0.4">
      <c r="B3" s="14" t="s">
        <v>6</v>
      </c>
      <c r="G3" s="36" t="s">
        <v>45</v>
      </c>
      <c r="J3" s="1"/>
      <c r="K3" s="1"/>
      <c r="N3" s="36"/>
      <c r="Q3" s="1"/>
      <c r="R3" s="1"/>
    </row>
    <row r="4" spans="2:18" ht="12.75" customHeight="1" x14ac:dyDescent="0.25">
      <c r="J4" s="1"/>
      <c r="K4" s="2"/>
      <c r="Q4" s="1"/>
      <c r="R4" s="2"/>
    </row>
    <row r="5" spans="2:18" ht="15.75" customHeight="1" x14ac:dyDescent="0.3">
      <c r="B5" s="73"/>
      <c r="C5" s="74"/>
      <c r="D5" s="184"/>
      <c r="E5" s="74"/>
      <c r="F5" s="75"/>
      <c r="G5" s="308" t="s">
        <v>16</v>
      </c>
      <c r="H5" s="309"/>
      <c r="I5" s="76"/>
      <c r="J5" s="310" t="s">
        <v>0</v>
      </c>
      <c r="K5" s="311"/>
      <c r="L5" s="77"/>
      <c r="M5" s="77"/>
      <c r="N5" s="308" t="s">
        <v>17</v>
      </c>
      <c r="O5" s="309"/>
      <c r="P5" s="76"/>
      <c r="Q5" s="310" t="s">
        <v>0</v>
      </c>
      <c r="R5" s="311"/>
    </row>
    <row r="6" spans="2:18" ht="22.5" customHeight="1" x14ac:dyDescent="0.25">
      <c r="B6" s="46" t="s">
        <v>1</v>
      </c>
      <c r="C6" s="7" t="s">
        <v>7</v>
      </c>
      <c r="D6" s="185" t="s">
        <v>5</v>
      </c>
      <c r="E6" s="48" t="s">
        <v>14</v>
      </c>
      <c r="F6" s="93" t="s">
        <v>42</v>
      </c>
      <c r="G6" s="82" t="s">
        <v>2</v>
      </c>
      <c r="H6" s="50" t="s">
        <v>13</v>
      </c>
      <c r="I6" s="23"/>
      <c r="J6" s="81" t="s">
        <v>0</v>
      </c>
      <c r="K6" s="84" t="s">
        <v>3</v>
      </c>
      <c r="N6" s="83" t="s">
        <v>2</v>
      </c>
      <c r="O6" s="40" t="s">
        <v>13</v>
      </c>
      <c r="P6" s="23"/>
      <c r="Q6" s="81" t="s">
        <v>0</v>
      </c>
      <c r="R6" s="84" t="s">
        <v>3</v>
      </c>
    </row>
    <row r="7" spans="2:18" ht="4.5" customHeight="1" x14ac:dyDescent="0.25">
      <c r="F7" s="23"/>
      <c r="G7" s="54"/>
      <c r="H7" s="23"/>
      <c r="I7" s="23"/>
      <c r="J7" s="55"/>
      <c r="K7" s="25"/>
      <c r="N7" s="54"/>
      <c r="O7" s="23"/>
      <c r="P7" s="23"/>
      <c r="Q7" s="55"/>
      <c r="R7" s="25"/>
    </row>
    <row r="8" spans="2:18" ht="17.100000000000001" customHeight="1" x14ac:dyDescent="0.3">
      <c r="B8" s="49" t="s">
        <v>50</v>
      </c>
      <c r="C8" s="11"/>
      <c r="D8" s="186"/>
      <c r="E8" s="3"/>
      <c r="F8" s="3"/>
      <c r="G8" s="56"/>
      <c r="H8" s="4"/>
      <c r="I8" s="23"/>
      <c r="J8" s="4"/>
      <c r="K8" s="57"/>
      <c r="N8" s="56"/>
      <c r="O8" s="4"/>
      <c r="P8" s="23"/>
      <c r="Q8" s="4"/>
      <c r="R8" s="57"/>
    </row>
    <row r="9" spans="2:18" ht="12.75" customHeight="1" outlineLevel="1" x14ac:dyDescent="0.25">
      <c r="B9" s="179" t="s">
        <v>79</v>
      </c>
      <c r="C9" s="16"/>
      <c r="D9" s="17"/>
      <c r="E9" s="37"/>
      <c r="F9" s="51"/>
      <c r="G9" s="58"/>
      <c r="H9" s="18"/>
      <c r="I9" s="19"/>
      <c r="J9" s="20"/>
      <c r="K9" s="21" t="str">
        <f>IF(J9="","",J9-H9)</f>
        <v/>
      </c>
      <c r="N9" s="58"/>
      <c r="O9" s="18"/>
      <c r="P9" s="19"/>
      <c r="Q9" s="20"/>
      <c r="R9" s="21" t="str">
        <f>IF(Q9="","",Q9-O9)</f>
        <v/>
      </c>
    </row>
    <row r="10" spans="2:18" ht="12.75" customHeight="1" outlineLevel="1" x14ac:dyDescent="0.25">
      <c r="B10" s="177">
        <v>45931</v>
      </c>
      <c r="C10" s="12"/>
      <c r="D10" s="5"/>
      <c r="E10" s="38" t="s">
        <v>0</v>
      </c>
      <c r="F10" s="52"/>
      <c r="G10" s="59"/>
      <c r="H10" s="13">
        <f>G10</f>
        <v>0</v>
      </c>
      <c r="I10" s="23"/>
      <c r="J10" s="24"/>
      <c r="K10" s="25" t="str">
        <f t="shared" ref="K10:K21" si="0">IF(J10="","",J10-H10)</f>
        <v/>
      </c>
      <c r="N10" s="59"/>
      <c r="O10" s="13">
        <f>N10</f>
        <v>0</v>
      </c>
      <c r="P10" s="23"/>
      <c r="Q10" s="24"/>
      <c r="R10" s="25" t="str">
        <f t="shared" ref="R10:R19" si="1">IF(Q10="","",Q10-O10)</f>
        <v/>
      </c>
    </row>
    <row r="11" spans="2:18" ht="12.75" customHeight="1" outlineLevel="1" x14ac:dyDescent="0.25">
      <c r="B11" s="157"/>
      <c r="C11" s="12"/>
      <c r="D11" s="118"/>
      <c r="E11" s="64"/>
      <c r="F11" s="65"/>
      <c r="G11" s="66"/>
      <c r="H11" s="13" t="str">
        <f>IF(C11="","",IF(C11="Entrée",H10+G11,IF(C11="Sortie",H10-G11)))</f>
        <v/>
      </c>
      <c r="I11" s="23"/>
      <c r="J11" s="24"/>
      <c r="K11" s="25" t="str">
        <f t="shared" si="0"/>
        <v/>
      </c>
      <c r="N11" s="66"/>
      <c r="O11" s="13"/>
      <c r="P11" s="23"/>
      <c r="Q11" s="24"/>
      <c r="R11" s="25" t="str">
        <f t="shared" si="1"/>
        <v/>
      </c>
    </row>
    <row r="12" spans="2:18" ht="12.75" customHeight="1" outlineLevel="1" x14ac:dyDescent="0.25">
      <c r="B12" s="157"/>
      <c r="C12" s="12"/>
      <c r="D12" s="118"/>
      <c r="E12" s="64"/>
      <c r="F12" s="65"/>
      <c r="G12" s="66"/>
      <c r="H12" s="13" t="str">
        <f t="shared" ref="H12:H19" si="2">IF(C12="","",IF(C12="Entrée",H11+G12,IF(C12="Sortie",H11-G12)))</f>
        <v/>
      </c>
      <c r="I12" s="23"/>
      <c r="J12" s="24"/>
      <c r="K12" s="25" t="str">
        <f t="shared" si="0"/>
        <v/>
      </c>
      <c r="N12" s="66"/>
      <c r="O12" s="13"/>
      <c r="P12" s="23"/>
      <c r="Q12" s="24"/>
      <c r="R12" s="25" t="str">
        <f t="shared" si="1"/>
        <v/>
      </c>
    </row>
    <row r="13" spans="2:18" ht="12.75" customHeight="1" outlineLevel="1" x14ac:dyDescent="0.25">
      <c r="B13" s="157"/>
      <c r="C13" s="12"/>
      <c r="D13" s="246"/>
      <c r="E13" s="244"/>
      <c r="F13" s="247"/>
      <c r="G13" s="66"/>
      <c r="H13" s="13" t="str">
        <f t="shared" si="2"/>
        <v/>
      </c>
      <c r="I13" s="23"/>
      <c r="J13" s="24"/>
      <c r="K13" s="25" t="str">
        <f t="shared" si="0"/>
        <v/>
      </c>
      <c r="N13" s="66"/>
      <c r="O13" s="13"/>
      <c r="P13" s="23"/>
      <c r="Q13" s="24"/>
      <c r="R13" s="25" t="str">
        <f t="shared" si="1"/>
        <v/>
      </c>
    </row>
    <row r="14" spans="2:18" ht="12.75" customHeight="1" outlineLevel="1" x14ac:dyDescent="0.25">
      <c r="B14" s="157"/>
      <c r="C14" s="12"/>
      <c r="D14" s="246"/>
      <c r="E14" s="244"/>
      <c r="F14" s="247"/>
      <c r="G14" s="66"/>
      <c r="H14" s="13" t="str">
        <f t="shared" si="2"/>
        <v/>
      </c>
      <c r="I14" s="23"/>
      <c r="J14" s="24"/>
      <c r="K14" s="25" t="str">
        <f t="shared" si="0"/>
        <v/>
      </c>
      <c r="N14" s="66"/>
      <c r="O14" s="13"/>
      <c r="P14" s="23"/>
      <c r="Q14" s="24"/>
      <c r="R14" s="25" t="str">
        <f t="shared" si="1"/>
        <v/>
      </c>
    </row>
    <row r="15" spans="2:18" ht="12.75" customHeight="1" outlineLevel="1" x14ac:dyDescent="0.25">
      <c r="B15" s="157"/>
      <c r="C15" s="12"/>
      <c r="D15" s="246"/>
      <c r="E15" s="244"/>
      <c r="F15" s="247"/>
      <c r="G15" s="66"/>
      <c r="H15" s="13" t="str">
        <f t="shared" si="2"/>
        <v/>
      </c>
      <c r="I15" s="23"/>
      <c r="J15" s="24"/>
      <c r="K15" s="25" t="str">
        <f t="shared" si="0"/>
        <v/>
      </c>
      <c r="N15" s="66"/>
      <c r="O15" s="13"/>
      <c r="P15" s="23"/>
      <c r="Q15" s="24"/>
      <c r="R15" s="25" t="str">
        <f t="shared" si="1"/>
        <v/>
      </c>
    </row>
    <row r="16" spans="2:18" ht="12.75" customHeight="1" outlineLevel="1" x14ac:dyDescent="0.25">
      <c r="B16" s="157"/>
      <c r="C16" s="12"/>
      <c r="D16" s="118"/>
      <c r="E16" s="244"/>
      <c r="F16" s="247"/>
      <c r="G16" s="66"/>
      <c r="H16" s="13" t="str">
        <f t="shared" si="2"/>
        <v/>
      </c>
      <c r="I16" s="23"/>
      <c r="J16" s="24"/>
      <c r="K16" s="25" t="str">
        <f t="shared" si="0"/>
        <v/>
      </c>
      <c r="N16" s="66"/>
      <c r="O16" s="13"/>
      <c r="P16" s="23"/>
      <c r="Q16" s="24"/>
      <c r="R16" s="25" t="str">
        <f t="shared" si="1"/>
        <v/>
      </c>
    </row>
    <row r="17" spans="1:19" ht="12.75" customHeight="1" outlineLevel="1" x14ac:dyDescent="0.25">
      <c r="B17" s="157"/>
      <c r="C17" s="12"/>
      <c r="D17" s="118"/>
      <c r="E17" s="244"/>
      <c r="F17" s="247"/>
      <c r="G17" s="66"/>
      <c r="H17" s="13" t="str">
        <f t="shared" si="2"/>
        <v/>
      </c>
      <c r="I17" s="23"/>
      <c r="J17" s="24"/>
      <c r="K17" s="25" t="str">
        <f t="shared" si="0"/>
        <v/>
      </c>
      <c r="N17" s="66"/>
      <c r="O17" s="13"/>
      <c r="P17" s="23"/>
      <c r="Q17" s="24"/>
      <c r="R17" s="25" t="str">
        <f t="shared" si="1"/>
        <v/>
      </c>
    </row>
    <row r="18" spans="1:19" ht="12.75" customHeight="1" outlineLevel="1" x14ac:dyDescent="0.25">
      <c r="B18" s="157"/>
      <c r="C18" s="155"/>
      <c r="D18" s="151"/>
      <c r="E18" s="152"/>
      <c r="F18" s="153"/>
      <c r="G18" s="154"/>
      <c r="H18" s="13" t="str">
        <f t="shared" si="2"/>
        <v/>
      </c>
      <c r="I18" s="23"/>
      <c r="J18" s="24"/>
      <c r="K18" s="25" t="str">
        <f t="shared" si="0"/>
        <v/>
      </c>
      <c r="N18" s="66"/>
      <c r="O18" s="13" t="str">
        <f>IF(C18="","",IF(C18="Entrée",#REF!+N18,IF(C18="Sortie",#REF!-N18)))</f>
        <v/>
      </c>
      <c r="P18" s="23"/>
      <c r="Q18" s="24"/>
      <c r="R18" s="25" t="str">
        <f t="shared" si="1"/>
        <v/>
      </c>
    </row>
    <row r="19" spans="1:19" ht="12.75" customHeight="1" outlineLevel="1" x14ac:dyDescent="0.25">
      <c r="B19" s="157"/>
      <c r="C19" s="155"/>
      <c r="D19" s="151"/>
      <c r="E19" s="152"/>
      <c r="F19" s="153"/>
      <c r="G19" s="154"/>
      <c r="H19" s="13" t="str">
        <f t="shared" si="2"/>
        <v/>
      </c>
      <c r="I19" s="23"/>
      <c r="J19" s="24"/>
      <c r="K19" s="25" t="str">
        <f t="shared" si="0"/>
        <v/>
      </c>
      <c r="N19" s="66"/>
      <c r="O19" s="13"/>
      <c r="P19" s="23"/>
      <c r="Q19" s="24"/>
      <c r="R19" s="25" t="str">
        <f t="shared" si="1"/>
        <v/>
      </c>
    </row>
    <row r="20" spans="1:19" ht="12.75" customHeight="1" outlineLevel="1" x14ac:dyDescent="0.25">
      <c r="B20" s="63"/>
      <c r="C20" s="12"/>
      <c r="D20" s="187"/>
      <c r="E20" s="64"/>
      <c r="F20" s="65"/>
      <c r="G20" s="66"/>
      <c r="H20" s="13" t="str">
        <f>IF(C20="","",IF(C20="Entrée",#REF!+G20,IF(C20="Sortie",#REF!-G20)))</f>
        <v/>
      </c>
      <c r="I20" s="23"/>
      <c r="J20" s="24"/>
      <c r="K20" s="25" t="str">
        <f t="shared" si="0"/>
        <v/>
      </c>
      <c r="N20" s="66"/>
      <c r="O20" s="13"/>
      <c r="P20" s="23"/>
      <c r="Q20" s="24"/>
      <c r="R20" s="25" t="str">
        <f t="shared" ref="R20:R21" si="3">IF(Q20="","",Q20-O20)</f>
        <v/>
      </c>
    </row>
    <row r="21" spans="1:19" ht="12.75" customHeight="1" outlineLevel="1" x14ac:dyDescent="0.25">
      <c r="B21" s="26"/>
      <c r="C21" s="27"/>
      <c r="D21" s="28"/>
      <c r="E21" s="39"/>
      <c r="F21" s="53"/>
      <c r="G21" s="60"/>
      <c r="H21" s="29" t="str">
        <f>IF(C21="","",IF(C21="Entrée",#REF!+G21,IF(C21="Sortie",#REF!-G21)))</f>
        <v/>
      </c>
      <c r="I21" s="30"/>
      <c r="J21" s="31"/>
      <c r="K21" s="32" t="str">
        <f t="shared" si="0"/>
        <v/>
      </c>
      <c r="N21" s="60"/>
      <c r="O21" s="29" t="str">
        <f>IF(C21="","",IF(J21="Entrée",#REF!+N21,IF(J21="Sortie",#REF!-N21)))</f>
        <v/>
      </c>
      <c r="P21" s="30"/>
      <c r="Q21" s="31"/>
      <c r="R21" s="32" t="str">
        <f t="shared" si="3"/>
        <v/>
      </c>
    </row>
    <row r="22" spans="1:19" ht="7.3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N22" s="6"/>
      <c r="O22" s="6"/>
      <c r="P22" s="6"/>
      <c r="Q22" s="6"/>
      <c r="R22" s="6"/>
      <c r="S22" s="6"/>
    </row>
    <row r="23" spans="1:19" ht="21" customHeight="1" x14ac:dyDescent="0.25">
      <c r="B23" s="6"/>
      <c r="C23" s="6"/>
      <c r="D23" s="6"/>
      <c r="E23" s="6"/>
      <c r="F23" s="70" t="s">
        <v>11</v>
      </c>
      <c r="G23" s="71">
        <f>SUMIF(C11:C21,"Entrée",G10:G21)</f>
        <v>0</v>
      </c>
      <c r="H23" s="6"/>
      <c r="I23" s="6"/>
      <c r="J23" s="6"/>
      <c r="K23" s="6"/>
      <c r="L23" s="6"/>
      <c r="O23" s="15"/>
      <c r="P23" s="61"/>
      <c r="Q23" s="70" t="s">
        <v>25</v>
      </c>
      <c r="R23" s="71">
        <f>SUMIF(C11:C21,"Entrée",N10:N21)</f>
        <v>0</v>
      </c>
      <c r="S23" s="6"/>
    </row>
    <row r="24" spans="1:19" ht="21" customHeight="1" x14ac:dyDescent="0.25">
      <c r="B24" s="6"/>
      <c r="C24" s="6"/>
      <c r="E24" s="6"/>
      <c r="F24" s="70" t="s">
        <v>12</v>
      </c>
      <c r="G24" s="71">
        <f>SUMIF(C9:C21,"Sortie",G9:G21)</f>
        <v>0</v>
      </c>
      <c r="H24" s="6"/>
      <c r="I24" s="6"/>
      <c r="J24" s="6"/>
      <c r="K24" s="6"/>
      <c r="L24" s="6"/>
      <c r="O24" s="15"/>
      <c r="P24" s="61"/>
      <c r="Q24" s="70" t="s">
        <v>24</v>
      </c>
      <c r="R24" s="71">
        <f>SUMIF(C9:C21,"Sortie",N9:N21)</f>
        <v>0</v>
      </c>
      <c r="S24" s="6"/>
    </row>
    <row r="25" spans="1:19" ht="9" customHeight="1" x14ac:dyDescent="0.25">
      <c r="B25" s="85"/>
      <c r="C25" s="6"/>
      <c r="E25" s="6"/>
      <c r="F25" s="67"/>
      <c r="G25" s="68"/>
      <c r="H25" s="6"/>
      <c r="I25" s="6"/>
      <c r="J25" s="6"/>
      <c r="K25" s="6"/>
      <c r="L25" s="6"/>
      <c r="O25" s="69"/>
      <c r="P25" s="69"/>
      <c r="Q25" s="67"/>
      <c r="R25" s="68"/>
      <c r="S25" s="6"/>
    </row>
    <row r="26" spans="1:19" ht="21" customHeight="1" thickBot="1" x14ac:dyDescent="0.3">
      <c r="A26" s="35"/>
      <c r="B26" s="44"/>
      <c r="C26" s="44"/>
      <c r="D26" s="188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19" ht="21" customHeight="1" x14ac:dyDescent="0.25">
      <c r="B27" s="6"/>
      <c r="C27" s="6"/>
      <c r="E27" s="6"/>
      <c r="F27" s="6"/>
      <c r="G27" s="6"/>
      <c r="H27" s="6"/>
      <c r="I27" s="6"/>
      <c r="J27" s="6"/>
      <c r="K27" s="6"/>
      <c r="L27" s="6"/>
      <c r="N27" s="6"/>
      <c r="O27" s="6"/>
      <c r="P27" s="6"/>
      <c r="Q27" s="6"/>
      <c r="R27" s="6"/>
      <c r="S27" s="6"/>
    </row>
    <row r="28" spans="1:19" ht="21" customHeight="1" x14ac:dyDescent="0.3">
      <c r="B28" s="78"/>
      <c r="C28" s="78"/>
      <c r="D28" s="79"/>
      <c r="E28" s="78"/>
      <c r="F28" s="78"/>
      <c r="G28" s="312" t="s">
        <v>16</v>
      </c>
      <c r="H28" s="313"/>
      <c r="I28" s="80"/>
      <c r="J28" s="314" t="s">
        <v>0</v>
      </c>
      <c r="K28" s="315"/>
      <c r="L28" s="79"/>
      <c r="M28" s="79"/>
      <c r="N28" s="312" t="s">
        <v>17</v>
      </c>
      <c r="O28" s="313"/>
      <c r="P28" s="80"/>
      <c r="Q28" s="314" t="s">
        <v>0</v>
      </c>
      <c r="R28" s="315"/>
      <c r="S28" s="6"/>
    </row>
    <row r="29" spans="1:19" ht="22.5" customHeight="1" x14ac:dyDescent="0.25">
      <c r="B29" s="46" t="s">
        <v>1</v>
      </c>
      <c r="C29" s="7" t="s">
        <v>7</v>
      </c>
      <c r="D29" s="185" t="s">
        <v>5</v>
      </c>
      <c r="E29" s="48" t="s">
        <v>14</v>
      </c>
      <c r="F29" s="7" t="s">
        <v>4</v>
      </c>
      <c r="G29" s="82" t="s">
        <v>2</v>
      </c>
      <c r="H29" s="50" t="s">
        <v>13</v>
      </c>
      <c r="I29" s="23"/>
      <c r="J29" s="81" t="s">
        <v>0</v>
      </c>
      <c r="K29" s="84" t="s">
        <v>3</v>
      </c>
      <c r="N29" s="83" t="s">
        <v>2</v>
      </c>
      <c r="O29" s="40" t="s">
        <v>13</v>
      </c>
      <c r="P29" s="23"/>
      <c r="Q29" s="81" t="s">
        <v>0</v>
      </c>
      <c r="R29" s="84" t="s">
        <v>3</v>
      </c>
    </row>
    <row r="30" spans="1:19" ht="4.3499999999999996" customHeight="1" x14ac:dyDescent="0.25">
      <c r="J30" s="1"/>
      <c r="K30" s="1"/>
      <c r="Q30" s="1"/>
      <c r="R30" s="1"/>
    </row>
    <row r="31" spans="1:19" ht="18.75" customHeight="1" x14ac:dyDescent="0.3">
      <c r="B31" s="49" t="s">
        <v>51</v>
      </c>
      <c r="C31" s="11"/>
      <c r="D31" s="186"/>
      <c r="E31" s="3"/>
      <c r="F31" s="3"/>
      <c r="G31" s="56"/>
      <c r="H31" s="4"/>
      <c r="I31" s="23"/>
      <c r="J31" s="4"/>
      <c r="K31" s="57"/>
      <c r="N31" s="56"/>
      <c r="O31" s="4"/>
      <c r="P31" s="23"/>
      <c r="Q31" s="4"/>
      <c r="R31" s="57"/>
    </row>
    <row r="32" spans="1:19" ht="12.75" customHeight="1" outlineLevel="1" x14ac:dyDescent="0.25">
      <c r="B32" s="179" t="s">
        <v>79</v>
      </c>
      <c r="C32" s="16"/>
      <c r="D32" s="17"/>
      <c r="E32" s="37"/>
      <c r="F32" s="42"/>
      <c r="G32" s="58"/>
      <c r="H32" s="18"/>
      <c r="I32" s="19"/>
      <c r="J32" s="20"/>
      <c r="K32" s="21" t="str">
        <f>IF(J32="","",J32-H32)</f>
        <v/>
      </c>
      <c r="N32" s="58"/>
      <c r="O32" s="18"/>
      <c r="P32" s="19"/>
      <c r="Q32" s="20"/>
      <c r="R32" s="21" t="str">
        <f>IF(Q32="","",Q32-O32)</f>
        <v/>
      </c>
    </row>
    <row r="33" spans="2:19" ht="12.75" customHeight="1" outlineLevel="1" x14ac:dyDescent="0.25">
      <c r="B33" s="177">
        <v>45931</v>
      </c>
      <c r="C33" s="12"/>
      <c r="D33" s="243"/>
      <c r="E33" s="244"/>
      <c r="F33" s="245"/>
      <c r="G33" s="66"/>
      <c r="H33" s="13">
        <f>G33</f>
        <v>0</v>
      </c>
      <c r="I33" s="23"/>
      <c r="J33" s="24"/>
      <c r="K33" s="25" t="str">
        <f t="shared" ref="K33:K45" si="4">IF(J33="","",J33-H33)</f>
        <v/>
      </c>
      <c r="N33" s="59"/>
      <c r="O33" s="13">
        <f>N33</f>
        <v>0</v>
      </c>
      <c r="P33" s="23"/>
      <c r="Q33" s="24"/>
      <c r="R33" s="25" t="str">
        <f t="shared" ref="R33:R45" si="5">IF(Q33="","",Q33-O33)</f>
        <v/>
      </c>
    </row>
    <row r="34" spans="2:19" ht="12.75" customHeight="1" outlineLevel="1" x14ac:dyDescent="0.25">
      <c r="B34" s="129"/>
      <c r="C34" s="12"/>
      <c r="D34" s="243"/>
      <c r="E34" s="244"/>
      <c r="F34" s="245"/>
      <c r="G34" s="66"/>
      <c r="H34" s="13"/>
      <c r="I34" s="23"/>
      <c r="J34" s="24"/>
      <c r="K34" s="25" t="str">
        <f t="shared" si="4"/>
        <v/>
      </c>
      <c r="N34" s="59"/>
      <c r="O34" s="13">
        <f t="shared" ref="O34:O41" si="6">N34</f>
        <v>0</v>
      </c>
      <c r="P34" s="23"/>
      <c r="Q34" s="24"/>
      <c r="R34" s="25" t="str">
        <f t="shared" si="5"/>
        <v/>
      </c>
    </row>
    <row r="35" spans="2:19" ht="12.75" customHeight="1" outlineLevel="1" x14ac:dyDescent="0.25">
      <c r="B35" s="129"/>
      <c r="C35" s="12"/>
      <c r="D35" s="243"/>
      <c r="E35" s="244"/>
      <c r="F35" s="245"/>
      <c r="G35" s="66"/>
      <c r="H35" s="13"/>
      <c r="I35" s="23"/>
      <c r="J35" s="24"/>
      <c r="K35" s="25" t="str">
        <f t="shared" si="4"/>
        <v/>
      </c>
      <c r="N35" s="59"/>
      <c r="O35" s="13">
        <f t="shared" si="6"/>
        <v>0</v>
      </c>
      <c r="P35" s="23"/>
      <c r="Q35" s="24"/>
      <c r="R35" s="25" t="str">
        <f t="shared" si="5"/>
        <v/>
      </c>
    </row>
    <row r="36" spans="2:19" ht="12.75" customHeight="1" outlineLevel="1" x14ac:dyDescent="0.25">
      <c r="B36" s="129"/>
      <c r="C36" s="12"/>
      <c r="D36" s="243"/>
      <c r="E36" s="248"/>
      <c r="F36" s="245"/>
      <c r="G36" s="66"/>
      <c r="H36" s="13"/>
      <c r="I36" s="23"/>
      <c r="J36" s="24"/>
      <c r="K36" s="25" t="str">
        <f t="shared" si="4"/>
        <v/>
      </c>
      <c r="N36" s="59"/>
      <c r="O36" s="13">
        <f t="shared" si="6"/>
        <v>0</v>
      </c>
      <c r="P36" s="23"/>
      <c r="Q36" s="24"/>
      <c r="R36" s="25" t="str">
        <f t="shared" si="5"/>
        <v/>
      </c>
    </row>
    <row r="37" spans="2:19" ht="12.75" customHeight="1" outlineLevel="1" x14ac:dyDescent="0.25">
      <c r="B37" s="129"/>
      <c r="C37" s="12"/>
      <c r="D37" s="243"/>
      <c r="E37" s="244"/>
      <c r="F37" s="245"/>
      <c r="G37" s="66"/>
      <c r="H37" s="13"/>
      <c r="I37" s="23"/>
      <c r="J37" s="24"/>
      <c r="K37" s="25" t="str">
        <f t="shared" si="4"/>
        <v/>
      </c>
      <c r="N37" s="59"/>
      <c r="O37" s="13">
        <f t="shared" si="6"/>
        <v>0</v>
      </c>
      <c r="P37" s="23"/>
      <c r="Q37" s="24"/>
      <c r="R37" s="25" t="str">
        <f t="shared" si="5"/>
        <v/>
      </c>
    </row>
    <row r="38" spans="2:19" ht="12.75" customHeight="1" outlineLevel="1" x14ac:dyDescent="0.25">
      <c r="B38" s="129"/>
      <c r="C38" s="12"/>
      <c r="D38" s="243"/>
      <c r="E38" s="248"/>
      <c r="F38" s="245"/>
      <c r="G38" s="66"/>
      <c r="H38" s="13"/>
      <c r="I38" s="23"/>
      <c r="J38" s="24"/>
      <c r="K38" s="25" t="str">
        <f t="shared" si="4"/>
        <v/>
      </c>
      <c r="N38" s="59"/>
      <c r="O38" s="13">
        <f t="shared" si="6"/>
        <v>0</v>
      </c>
      <c r="P38" s="23"/>
      <c r="Q38" s="24"/>
      <c r="R38" s="25" t="str">
        <f t="shared" si="5"/>
        <v/>
      </c>
    </row>
    <row r="39" spans="2:19" ht="12.75" customHeight="1" outlineLevel="1" x14ac:dyDescent="0.25">
      <c r="B39" s="129"/>
      <c r="C39" s="12"/>
      <c r="D39" s="243"/>
      <c r="E39" s="248"/>
      <c r="F39" s="245"/>
      <c r="G39" s="66"/>
      <c r="H39" s="13"/>
      <c r="I39" s="23"/>
      <c r="J39" s="24"/>
      <c r="K39" s="25" t="str">
        <f t="shared" si="4"/>
        <v/>
      </c>
      <c r="N39" s="59"/>
      <c r="O39" s="13">
        <f t="shared" si="6"/>
        <v>0</v>
      </c>
      <c r="P39" s="23"/>
      <c r="Q39" s="24"/>
      <c r="R39" s="25" t="str">
        <f t="shared" si="5"/>
        <v/>
      </c>
    </row>
    <row r="40" spans="2:19" ht="12.75" customHeight="1" outlineLevel="1" x14ac:dyDescent="0.25">
      <c r="B40" s="129"/>
      <c r="C40" s="12"/>
      <c r="D40" s="243"/>
      <c r="E40" s="244"/>
      <c r="F40" s="245"/>
      <c r="G40" s="66"/>
      <c r="H40" s="13"/>
      <c r="I40" s="23"/>
      <c r="J40" s="24"/>
      <c r="K40" s="25" t="str">
        <f t="shared" si="4"/>
        <v/>
      </c>
      <c r="N40" s="59"/>
      <c r="O40" s="13">
        <f t="shared" si="6"/>
        <v>0</v>
      </c>
      <c r="P40" s="23"/>
      <c r="Q40" s="24"/>
      <c r="R40" s="25" t="str">
        <f t="shared" si="5"/>
        <v/>
      </c>
    </row>
    <row r="41" spans="2:19" ht="12.75" customHeight="1" outlineLevel="1" x14ac:dyDescent="0.25">
      <c r="B41" s="129"/>
      <c r="C41" s="155"/>
      <c r="D41" s="125"/>
      <c r="E41" s="162"/>
      <c r="F41" s="159"/>
      <c r="G41" s="154"/>
      <c r="H41" s="13"/>
      <c r="I41" s="23"/>
      <c r="J41" s="24"/>
      <c r="K41" s="25" t="str">
        <f t="shared" si="4"/>
        <v/>
      </c>
      <c r="N41" s="59"/>
      <c r="O41" s="13">
        <f t="shared" si="6"/>
        <v>0</v>
      </c>
      <c r="P41" s="23"/>
      <c r="Q41" s="24"/>
      <c r="R41" s="25" t="str">
        <f t="shared" si="5"/>
        <v/>
      </c>
    </row>
    <row r="42" spans="2:19" ht="12.75" customHeight="1" outlineLevel="1" x14ac:dyDescent="0.25">
      <c r="B42" s="129"/>
      <c r="C42" s="155"/>
      <c r="D42" s="125"/>
      <c r="E42" s="244"/>
      <c r="F42" s="245"/>
      <c r="G42" s="154"/>
      <c r="H42" s="13"/>
      <c r="I42" s="23"/>
      <c r="J42" s="24"/>
      <c r="K42" s="25" t="str">
        <f t="shared" si="4"/>
        <v/>
      </c>
      <c r="N42" s="59"/>
      <c r="O42" s="13"/>
      <c r="P42" s="23"/>
      <c r="Q42" s="24"/>
      <c r="R42" s="25" t="str">
        <f t="shared" si="5"/>
        <v/>
      </c>
    </row>
    <row r="43" spans="2:19" ht="12.75" customHeight="1" outlineLevel="1" x14ac:dyDescent="0.25">
      <c r="B43" s="130"/>
      <c r="C43" s="265"/>
      <c r="D43" s="246"/>
      <c r="E43" s="248"/>
      <c r="F43" s="255"/>
      <c r="G43" s="66"/>
      <c r="H43" s="13"/>
      <c r="I43" s="23"/>
      <c r="J43" s="24"/>
      <c r="K43" s="25" t="str">
        <f t="shared" si="4"/>
        <v/>
      </c>
      <c r="N43" s="66"/>
      <c r="O43" s="13"/>
      <c r="P43" s="23"/>
      <c r="Q43" s="24"/>
      <c r="R43" s="25" t="str">
        <f t="shared" si="5"/>
        <v/>
      </c>
    </row>
    <row r="44" spans="2:19" ht="12.75" customHeight="1" outlineLevel="1" x14ac:dyDescent="0.25">
      <c r="B44" s="130"/>
      <c r="C44" s="265"/>
      <c r="D44" s="246"/>
      <c r="E44" s="248"/>
      <c r="F44" s="255"/>
      <c r="G44" s="66"/>
      <c r="H44" s="13"/>
      <c r="I44" s="23"/>
      <c r="J44" s="24"/>
      <c r="K44" s="25" t="str">
        <f t="shared" si="4"/>
        <v/>
      </c>
      <c r="N44" s="66"/>
      <c r="O44" s="13"/>
      <c r="P44" s="23"/>
      <c r="Q44" s="24"/>
      <c r="R44" s="25"/>
    </row>
    <row r="45" spans="2:19" ht="12.75" customHeight="1" outlineLevel="1" x14ac:dyDescent="0.25">
      <c r="B45" s="26"/>
      <c r="C45" s="27"/>
      <c r="D45" s="28"/>
      <c r="E45" s="39"/>
      <c r="F45" s="43"/>
      <c r="G45" s="60"/>
      <c r="H45" s="29" t="str">
        <f>IF(C45="","",IF(C45="Entrée",H37+G45,IF(C45="Sortie",H37-G45)))</f>
        <v/>
      </c>
      <c r="I45" s="30"/>
      <c r="J45" s="31"/>
      <c r="K45" s="32" t="str">
        <f t="shared" si="4"/>
        <v/>
      </c>
      <c r="N45" s="60"/>
      <c r="O45" s="29" t="str">
        <f>IF(C45="","",IF(C45="Entrée",O37+N45,IF(C45="Sortie",O37-N45)))</f>
        <v/>
      </c>
      <c r="P45" s="30"/>
      <c r="Q45" s="31"/>
      <c r="R45" s="32" t="str">
        <f t="shared" si="5"/>
        <v/>
      </c>
    </row>
    <row r="46" spans="2:19" ht="6.6" customHeight="1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N46" s="6"/>
      <c r="O46" s="6"/>
      <c r="P46" s="6"/>
      <c r="Q46" s="6"/>
      <c r="R46" s="6"/>
    </row>
    <row r="47" spans="2:19" ht="26.1" customHeight="1" x14ac:dyDescent="0.25">
      <c r="B47" s="6"/>
      <c r="C47" s="6"/>
      <c r="D47" s="6"/>
      <c r="E47" s="6"/>
      <c r="F47" s="191" t="s">
        <v>18</v>
      </c>
      <c r="G47" s="33">
        <f>SUMIF(C33:C45,"Entrée",G33:G45)</f>
        <v>0</v>
      </c>
      <c r="H47" s="6"/>
      <c r="I47" s="6"/>
      <c r="J47" s="6"/>
      <c r="K47" s="6"/>
      <c r="L47" s="6"/>
      <c r="O47" s="15"/>
      <c r="P47" s="61"/>
      <c r="Q47" s="34" t="s">
        <v>20</v>
      </c>
      <c r="R47" s="33">
        <f>SUMIF(C33:C45,"Entrée",N33:N45)</f>
        <v>0</v>
      </c>
      <c r="S47" s="6"/>
    </row>
    <row r="48" spans="2:19" ht="26.1" customHeight="1" x14ac:dyDescent="0.25">
      <c r="B48" s="6"/>
      <c r="C48" s="6"/>
      <c r="E48" s="6"/>
      <c r="F48" s="191" t="s">
        <v>19</v>
      </c>
      <c r="G48" s="33">
        <f>SUMIF(C32:C45,"Sortie",G32:G45)</f>
        <v>0</v>
      </c>
      <c r="H48" s="6"/>
      <c r="I48" s="6"/>
      <c r="J48" s="6"/>
      <c r="K48" s="6"/>
      <c r="L48" s="6"/>
      <c r="O48" s="15"/>
      <c r="P48" s="61"/>
      <c r="Q48" s="34" t="s">
        <v>21</v>
      </c>
      <c r="R48" s="33">
        <f>SUMIF(C32:C45,"Sortie",N32:N45)</f>
        <v>0</v>
      </c>
      <c r="S48" s="6"/>
    </row>
    <row r="49" spans="2:18" ht="12.75" customHeight="1" x14ac:dyDescent="0.25">
      <c r="B49" s="85"/>
      <c r="J49" s="1"/>
      <c r="K49" s="1"/>
      <c r="Q49" s="1"/>
      <c r="R49" s="1"/>
    </row>
    <row r="50" spans="2:18" ht="12.75" customHeight="1" x14ac:dyDescent="0.25">
      <c r="J50" s="1"/>
      <c r="K50" s="1"/>
      <c r="Q50" s="1"/>
      <c r="R50" s="1"/>
    </row>
    <row r="51" spans="2:18" ht="12.75" customHeight="1" x14ac:dyDescent="0.25">
      <c r="J51" s="1"/>
      <c r="K51" s="1"/>
      <c r="Q51" s="1"/>
      <c r="R51" s="1"/>
    </row>
    <row r="52" spans="2:18" ht="12.75" customHeight="1" x14ac:dyDescent="0.25">
      <c r="J52" s="1"/>
      <c r="K52" s="1"/>
      <c r="Q52" s="1"/>
      <c r="R52" s="1"/>
    </row>
    <row r="53" spans="2:18" ht="12.75" customHeight="1" x14ac:dyDescent="0.25">
      <c r="J53" s="1"/>
      <c r="K53" s="1"/>
      <c r="Q53" s="1"/>
      <c r="R53" s="1"/>
    </row>
    <row r="54" spans="2:18" ht="12.75" customHeight="1" x14ac:dyDescent="0.25">
      <c r="J54" s="1"/>
      <c r="K54" s="1"/>
      <c r="Q54" s="1"/>
      <c r="R54" s="1"/>
    </row>
    <row r="55" spans="2:18" ht="12.75" customHeight="1" x14ac:dyDescent="0.25">
      <c r="J55" s="1"/>
      <c r="K55" s="1"/>
      <c r="Q55" s="1"/>
      <c r="R55" s="1"/>
    </row>
    <row r="56" spans="2:18" ht="12.75" customHeight="1" x14ac:dyDescent="0.25">
      <c r="J56" s="1"/>
      <c r="K56" s="1"/>
      <c r="Q56" s="1"/>
      <c r="R56" s="1"/>
    </row>
    <row r="57" spans="2:18" ht="12.75" customHeight="1" x14ac:dyDescent="0.25">
      <c r="J57" s="1"/>
      <c r="K57" s="1"/>
      <c r="Q57" s="1"/>
      <c r="R57" s="1"/>
    </row>
    <row r="58" spans="2:18" ht="12.75" customHeight="1" x14ac:dyDescent="0.25">
      <c r="J58" s="1"/>
      <c r="K58" s="1"/>
      <c r="Q58" s="1"/>
      <c r="R58" s="1"/>
    </row>
    <row r="59" spans="2:18" ht="12.75" customHeight="1" x14ac:dyDescent="0.25">
      <c r="J59" s="1"/>
      <c r="K59" s="1"/>
      <c r="Q59" s="1"/>
      <c r="R59" s="1"/>
    </row>
    <row r="60" spans="2:18" ht="12.75" customHeight="1" x14ac:dyDescent="0.25">
      <c r="J60" s="1"/>
      <c r="K60" s="1"/>
      <c r="Q60" s="1"/>
      <c r="R60" s="1"/>
    </row>
    <row r="61" spans="2:18" ht="12.75" customHeight="1" x14ac:dyDescent="0.25">
      <c r="J61" s="1"/>
      <c r="K61" s="1"/>
      <c r="Q61" s="1"/>
      <c r="R61" s="1"/>
    </row>
    <row r="62" spans="2:18" ht="12.75" customHeight="1" x14ac:dyDescent="0.25">
      <c r="J62" s="1"/>
      <c r="K62" s="1"/>
      <c r="Q62" s="1"/>
      <c r="R62" s="1"/>
    </row>
    <row r="63" spans="2:18" ht="12.75" customHeight="1" x14ac:dyDescent="0.25">
      <c r="J63" s="1"/>
      <c r="K63" s="1"/>
      <c r="Q63" s="1"/>
      <c r="R63" s="1"/>
    </row>
    <row r="64" spans="2:18" ht="12.75" customHeight="1" x14ac:dyDescent="0.25">
      <c r="J64" s="1"/>
      <c r="K64" s="1"/>
      <c r="Q64" s="1"/>
      <c r="R64" s="1"/>
    </row>
    <row r="65" spans="10:18" ht="12.75" customHeight="1" x14ac:dyDescent="0.25">
      <c r="J65" s="1"/>
      <c r="K65" s="1"/>
      <c r="Q65" s="1"/>
      <c r="R65" s="1"/>
    </row>
    <row r="66" spans="10:18" ht="12.75" customHeight="1" x14ac:dyDescent="0.25">
      <c r="J66" s="1"/>
      <c r="K66" s="1"/>
      <c r="Q66" s="1"/>
      <c r="R66" s="1"/>
    </row>
    <row r="67" spans="10:18" ht="12.75" customHeight="1" x14ac:dyDescent="0.25">
      <c r="J67" s="1"/>
      <c r="K67" s="1"/>
      <c r="Q67" s="1"/>
      <c r="R67" s="1"/>
    </row>
    <row r="68" spans="10:18" ht="12.75" customHeight="1" x14ac:dyDescent="0.25">
      <c r="J68" s="1"/>
      <c r="K68" s="1"/>
      <c r="Q68" s="1"/>
      <c r="R68" s="1"/>
    </row>
    <row r="69" spans="10:18" ht="12.75" customHeight="1" x14ac:dyDescent="0.25">
      <c r="J69" s="1"/>
      <c r="K69" s="1"/>
      <c r="Q69" s="1"/>
      <c r="R69" s="1"/>
    </row>
    <row r="70" spans="10:18" ht="12.75" customHeight="1" x14ac:dyDescent="0.25">
      <c r="J70" s="1"/>
      <c r="K70" s="1"/>
      <c r="Q70" s="1"/>
      <c r="R70" s="1"/>
    </row>
    <row r="71" spans="10:18" ht="12.75" customHeight="1" x14ac:dyDescent="0.25">
      <c r="J71" s="1"/>
      <c r="K71" s="1"/>
      <c r="Q71" s="1"/>
      <c r="R71" s="1"/>
    </row>
    <row r="72" spans="10:18" ht="12.75" customHeight="1" x14ac:dyDescent="0.25">
      <c r="J72" s="1"/>
      <c r="K72" s="1"/>
      <c r="Q72" s="1"/>
      <c r="R72" s="1"/>
    </row>
    <row r="73" spans="10:18" ht="12.75" customHeight="1" x14ac:dyDescent="0.25">
      <c r="J73" s="1"/>
      <c r="K73" s="1"/>
      <c r="Q73" s="1"/>
      <c r="R73" s="1"/>
    </row>
    <row r="74" spans="10:18" ht="12.75" customHeight="1" x14ac:dyDescent="0.25">
      <c r="J74" s="1"/>
      <c r="K74" s="1"/>
      <c r="Q74" s="1"/>
      <c r="R74" s="1"/>
    </row>
    <row r="75" spans="10:18" ht="12.75" customHeight="1" x14ac:dyDescent="0.25">
      <c r="J75" s="1"/>
      <c r="K75" s="1"/>
      <c r="Q75" s="1"/>
      <c r="R75" s="1"/>
    </row>
    <row r="76" spans="10:18" ht="12.75" customHeight="1" x14ac:dyDescent="0.25">
      <c r="J76" s="1"/>
      <c r="K76" s="1"/>
      <c r="Q76" s="1"/>
      <c r="R76" s="1"/>
    </row>
    <row r="77" spans="10:18" ht="12.75" customHeight="1" x14ac:dyDescent="0.25">
      <c r="J77" s="1"/>
      <c r="K77" s="1"/>
      <c r="Q77" s="1"/>
      <c r="R77" s="1"/>
    </row>
    <row r="78" spans="10:18" ht="12.75" customHeight="1" x14ac:dyDescent="0.25">
      <c r="J78" s="1"/>
      <c r="K78" s="1"/>
      <c r="Q78" s="1"/>
      <c r="R78" s="1"/>
    </row>
    <row r="79" spans="10:18" ht="12.75" customHeight="1" x14ac:dyDescent="0.25">
      <c r="J79" s="1"/>
      <c r="K79" s="1"/>
      <c r="Q79" s="1"/>
      <c r="R79" s="1"/>
    </row>
    <row r="80" spans="10:18" ht="12.75" customHeight="1" x14ac:dyDescent="0.25">
      <c r="J80" s="1"/>
      <c r="K80" s="1"/>
      <c r="Q80" s="1"/>
      <c r="R80" s="1"/>
    </row>
    <row r="81" spans="10:18" ht="12.75" customHeight="1" x14ac:dyDescent="0.25">
      <c r="J81" s="1"/>
      <c r="K81" s="1"/>
      <c r="Q81" s="1"/>
      <c r="R81" s="1"/>
    </row>
    <row r="82" spans="10:18" ht="12.75" customHeight="1" x14ac:dyDescent="0.25">
      <c r="J82" s="1"/>
      <c r="K82" s="1"/>
      <c r="Q82" s="1"/>
      <c r="R82" s="1"/>
    </row>
    <row r="83" spans="10:18" ht="12.75" customHeight="1" x14ac:dyDescent="0.25">
      <c r="J83" s="1"/>
      <c r="K83" s="1"/>
      <c r="Q83" s="1"/>
      <c r="R83" s="1"/>
    </row>
    <row r="84" spans="10:18" ht="12.75" customHeight="1" x14ac:dyDescent="0.25">
      <c r="J84" s="1"/>
      <c r="K84" s="1"/>
      <c r="Q84" s="1"/>
      <c r="R84" s="1"/>
    </row>
    <row r="85" spans="10:18" ht="12.75" customHeight="1" x14ac:dyDescent="0.25">
      <c r="J85" s="1"/>
      <c r="K85" s="1"/>
      <c r="Q85" s="1"/>
      <c r="R85" s="1"/>
    </row>
    <row r="86" spans="10:18" ht="12.75" customHeight="1" x14ac:dyDescent="0.25">
      <c r="J86" s="1"/>
      <c r="K86" s="1"/>
      <c r="Q86" s="1"/>
      <c r="R86" s="1"/>
    </row>
    <row r="87" spans="10:18" ht="12.75" customHeight="1" x14ac:dyDescent="0.25">
      <c r="J87" s="1"/>
      <c r="K87" s="1"/>
      <c r="Q87" s="1"/>
      <c r="R87" s="1"/>
    </row>
    <row r="88" spans="10:18" ht="12.75" customHeight="1" x14ac:dyDescent="0.25">
      <c r="J88" s="1"/>
      <c r="K88" s="1"/>
      <c r="Q88" s="1"/>
      <c r="R88" s="1"/>
    </row>
    <row r="89" spans="10:18" ht="12.75" customHeight="1" x14ac:dyDescent="0.25">
      <c r="J89" s="1"/>
      <c r="K89" s="1"/>
      <c r="Q89" s="1"/>
      <c r="R89" s="1"/>
    </row>
    <row r="90" spans="10:18" ht="12.75" customHeight="1" x14ac:dyDescent="0.25">
      <c r="J90" s="1"/>
      <c r="K90" s="1"/>
      <c r="Q90" s="1"/>
      <c r="R90" s="1"/>
    </row>
    <row r="91" spans="10:18" ht="12.75" customHeight="1" x14ac:dyDescent="0.25">
      <c r="J91" s="1"/>
      <c r="K91" s="1"/>
      <c r="Q91" s="1"/>
      <c r="R91" s="1"/>
    </row>
    <row r="92" spans="10:18" ht="12.75" customHeight="1" x14ac:dyDescent="0.25">
      <c r="J92" s="1"/>
      <c r="K92" s="1"/>
      <c r="Q92" s="1"/>
      <c r="R92" s="1"/>
    </row>
    <row r="93" spans="10:18" ht="12.75" customHeight="1" x14ac:dyDescent="0.25">
      <c r="J93" s="1"/>
      <c r="K93" s="1"/>
      <c r="Q93" s="1"/>
      <c r="R93" s="1"/>
    </row>
    <row r="94" spans="10:18" ht="12.75" customHeight="1" x14ac:dyDescent="0.25">
      <c r="J94" s="1"/>
      <c r="K94" s="1"/>
      <c r="Q94" s="1"/>
      <c r="R94" s="1"/>
    </row>
    <row r="95" spans="10:18" ht="12.75" customHeight="1" x14ac:dyDescent="0.25">
      <c r="J95" s="1"/>
      <c r="K95" s="1"/>
      <c r="Q95" s="1"/>
      <c r="R95" s="1"/>
    </row>
    <row r="96" spans="10:18" ht="12.75" customHeight="1" x14ac:dyDescent="0.25">
      <c r="J96" s="1"/>
      <c r="K96" s="1"/>
      <c r="Q96" s="1"/>
      <c r="R96" s="1"/>
    </row>
    <row r="97" spans="10:18" ht="12.75" customHeight="1" x14ac:dyDescent="0.25">
      <c r="J97" s="1"/>
      <c r="K97" s="1"/>
      <c r="Q97" s="1"/>
      <c r="R97" s="1"/>
    </row>
    <row r="98" spans="10:18" ht="12.75" customHeight="1" x14ac:dyDescent="0.25">
      <c r="J98" s="1"/>
      <c r="K98" s="1"/>
      <c r="Q98" s="1"/>
      <c r="R98" s="1"/>
    </row>
    <row r="99" spans="10:18" ht="12.75" customHeight="1" x14ac:dyDescent="0.25">
      <c r="J99" s="1"/>
      <c r="K99" s="1"/>
      <c r="Q99" s="1"/>
      <c r="R99" s="1"/>
    </row>
    <row r="100" spans="10:18" ht="12.75" customHeight="1" x14ac:dyDescent="0.25">
      <c r="J100" s="1"/>
      <c r="K100" s="1"/>
      <c r="Q100" s="1"/>
      <c r="R100" s="1"/>
    </row>
    <row r="101" spans="10:18" ht="12.75" customHeight="1" x14ac:dyDescent="0.25">
      <c r="J101" s="1"/>
      <c r="K101" s="1"/>
      <c r="Q101" s="1"/>
      <c r="R101" s="1"/>
    </row>
    <row r="102" spans="10:18" ht="12.75" customHeight="1" x14ac:dyDescent="0.25">
      <c r="J102" s="1"/>
      <c r="K102" s="1"/>
      <c r="Q102" s="1"/>
      <c r="R102" s="1"/>
    </row>
    <row r="103" spans="10:18" ht="12.75" customHeight="1" x14ac:dyDescent="0.25">
      <c r="J103" s="1"/>
      <c r="K103" s="1"/>
      <c r="Q103" s="1"/>
      <c r="R103" s="1"/>
    </row>
    <row r="104" spans="10:18" ht="12.75" customHeight="1" x14ac:dyDescent="0.25">
      <c r="J104" s="1"/>
      <c r="K104" s="1"/>
      <c r="Q104" s="1"/>
      <c r="R104" s="1"/>
    </row>
    <row r="105" spans="10:18" ht="12.75" customHeight="1" x14ac:dyDescent="0.25">
      <c r="J105" s="1"/>
      <c r="K105" s="1"/>
      <c r="Q105" s="1"/>
      <c r="R105" s="1"/>
    </row>
    <row r="106" spans="10:18" ht="12.75" customHeight="1" x14ac:dyDescent="0.25">
      <c r="J106" s="1"/>
      <c r="K106" s="1"/>
      <c r="Q106" s="1"/>
      <c r="R106" s="1"/>
    </row>
    <row r="107" spans="10:18" ht="12.75" customHeight="1" x14ac:dyDescent="0.25">
      <c r="J107" s="1"/>
      <c r="K107" s="1"/>
      <c r="Q107" s="1"/>
      <c r="R107" s="1"/>
    </row>
    <row r="108" spans="10:18" ht="12.75" customHeight="1" x14ac:dyDescent="0.25">
      <c r="J108" s="1"/>
      <c r="K108" s="1"/>
      <c r="Q108" s="1"/>
      <c r="R108" s="1"/>
    </row>
    <row r="109" spans="10:18" ht="12.75" customHeight="1" x14ac:dyDescent="0.25">
      <c r="J109" s="1"/>
      <c r="K109" s="1"/>
      <c r="Q109" s="1"/>
      <c r="R109" s="1"/>
    </row>
    <row r="110" spans="10:18" ht="12.75" customHeight="1" x14ac:dyDescent="0.25">
      <c r="J110" s="1"/>
      <c r="K110" s="1"/>
      <c r="Q110" s="1"/>
      <c r="R110" s="1"/>
    </row>
    <row r="111" spans="10:18" ht="12.75" customHeight="1" x14ac:dyDescent="0.25">
      <c r="J111" s="1"/>
      <c r="K111" s="1"/>
      <c r="Q111" s="1"/>
      <c r="R111" s="1"/>
    </row>
    <row r="112" spans="10:18" ht="12.75" customHeight="1" x14ac:dyDescent="0.25">
      <c r="J112" s="1"/>
      <c r="K112" s="1"/>
      <c r="Q112" s="1"/>
      <c r="R112" s="1"/>
    </row>
    <row r="113" spans="10:18" ht="12.75" customHeight="1" x14ac:dyDescent="0.25">
      <c r="J113" s="1"/>
      <c r="K113" s="1"/>
      <c r="Q113" s="1"/>
      <c r="R113" s="1"/>
    </row>
    <row r="114" spans="10:18" ht="12.75" customHeight="1" x14ac:dyDescent="0.25">
      <c r="J114" s="1"/>
      <c r="K114" s="1"/>
      <c r="Q114" s="1"/>
      <c r="R114" s="1"/>
    </row>
    <row r="115" spans="10:18" ht="12.75" customHeight="1" x14ac:dyDescent="0.25">
      <c r="J115" s="1"/>
      <c r="K115" s="1"/>
      <c r="Q115" s="1"/>
      <c r="R115" s="1"/>
    </row>
    <row r="116" spans="10:18" ht="12.75" customHeight="1" x14ac:dyDescent="0.25">
      <c r="J116" s="1"/>
      <c r="K116" s="1"/>
      <c r="Q116" s="1"/>
      <c r="R116" s="1"/>
    </row>
    <row r="117" spans="10:18" ht="12.75" customHeight="1" x14ac:dyDescent="0.25">
      <c r="J117" s="1"/>
      <c r="K117" s="1"/>
      <c r="Q117" s="1"/>
      <c r="R117" s="1"/>
    </row>
    <row r="118" spans="10:18" ht="12.75" customHeight="1" x14ac:dyDescent="0.25">
      <c r="J118" s="1"/>
      <c r="K118" s="1"/>
      <c r="Q118" s="1"/>
      <c r="R118" s="1"/>
    </row>
    <row r="119" spans="10:18" ht="12.75" customHeight="1" x14ac:dyDescent="0.25">
      <c r="J119" s="1"/>
      <c r="K119" s="1"/>
      <c r="Q119" s="1"/>
      <c r="R119" s="1"/>
    </row>
    <row r="120" spans="10:18" ht="12.75" customHeight="1" x14ac:dyDescent="0.25">
      <c r="J120" s="1"/>
      <c r="K120" s="1"/>
      <c r="Q120" s="1"/>
      <c r="R120" s="1"/>
    </row>
    <row r="121" spans="10:18" ht="12.75" customHeight="1" x14ac:dyDescent="0.25">
      <c r="J121" s="1"/>
      <c r="K121" s="1"/>
      <c r="Q121" s="1"/>
      <c r="R121" s="1"/>
    </row>
    <row r="122" spans="10:18" ht="12.75" customHeight="1" x14ac:dyDescent="0.25">
      <c r="J122" s="1"/>
      <c r="K122" s="1"/>
      <c r="Q122" s="1"/>
      <c r="R122" s="1"/>
    </row>
    <row r="123" spans="10:18" ht="12.75" customHeight="1" x14ac:dyDescent="0.25">
      <c r="J123" s="1"/>
      <c r="K123" s="1"/>
      <c r="Q123" s="1"/>
      <c r="R123" s="1"/>
    </row>
    <row r="124" spans="10:18" ht="12.75" customHeight="1" x14ac:dyDescent="0.25">
      <c r="J124" s="1"/>
      <c r="K124" s="1"/>
      <c r="Q124" s="1"/>
      <c r="R124" s="1"/>
    </row>
    <row r="125" spans="10:18" ht="12.75" customHeight="1" x14ac:dyDescent="0.25">
      <c r="J125" s="1"/>
      <c r="K125" s="1"/>
      <c r="Q125" s="1"/>
      <c r="R125" s="1"/>
    </row>
    <row r="126" spans="10:18" ht="12.75" customHeight="1" x14ac:dyDescent="0.25">
      <c r="J126" s="1"/>
      <c r="K126" s="1"/>
      <c r="Q126" s="1"/>
      <c r="R126" s="1"/>
    </row>
    <row r="127" spans="10:18" ht="12.75" customHeight="1" x14ac:dyDescent="0.25">
      <c r="J127" s="1"/>
      <c r="K127" s="1"/>
      <c r="Q127" s="1"/>
      <c r="R127" s="1"/>
    </row>
    <row r="128" spans="10:18" ht="12.75" customHeight="1" x14ac:dyDescent="0.25">
      <c r="J128" s="1"/>
      <c r="K128" s="1"/>
      <c r="Q128" s="1"/>
      <c r="R128" s="1"/>
    </row>
    <row r="129" spans="10:18" ht="12.75" customHeight="1" x14ac:dyDescent="0.25">
      <c r="J129" s="1"/>
      <c r="K129" s="1"/>
      <c r="Q129" s="1"/>
      <c r="R129" s="1"/>
    </row>
    <row r="130" spans="10:18" ht="12.75" customHeight="1" x14ac:dyDescent="0.25">
      <c r="J130" s="1"/>
      <c r="K130" s="1"/>
      <c r="Q130" s="1"/>
      <c r="R130" s="1"/>
    </row>
    <row r="131" spans="10:18" ht="12.75" customHeight="1" x14ac:dyDescent="0.25">
      <c r="J131" s="1"/>
      <c r="K131" s="1"/>
      <c r="Q131" s="1"/>
      <c r="R131" s="1"/>
    </row>
    <row r="132" spans="10:18" ht="12.75" customHeight="1" x14ac:dyDescent="0.25">
      <c r="J132" s="1"/>
      <c r="K132" s="1"/>
      <c r="Q132" s="1"/>
      <c r="R132" s="1"/>
    </row>
    <row r="133" spans="10:18" ht="12.75" customHeight="1" x14ac:dyDescent="0.25">
      <c r="J133" s="1"/>
      <c r="K133" s="1"/>
      <c r="Q133" s="1"/>
      <c r="R133" s="1"/>
    </row>
    <row r="134" spans="10:18" ht="12.75" customHeight="1" x14ac:dyDescent="0.25">
      <c r="J134" s="1"/>
      <c r="K134" s="1"/>
      <c r="Q134" s="1"/>
      <c r="R134" s="1"/>
    </row>
    <row r="135" spans="10:18" ht="12.75" customHeight="1" x14ac:dyDescent="0.25">
      <c r="J135" s="1"/>
      <c r="K135" s="1"/>
      <c r="Q135" s="1"/>
      <c r="R135" s="1"/>
    </row>
    <row r="136" spans="10:18" ht="12.75" customHeight="1" x14ac:dyDescent="0.25">
      <c r="J136" s="1"/>
      <c r="K136" s="1"/>
      <c r="Q136" s="1"/>
      <c r="R136" s="1"/>
    </row>
    <row r="137" spans="10:18" ht="12.75" customHeight="1" x14ac:dyDescent="0.25">
      <c r="J137" s="1"/>
      <c r="K137" s="1"/>
      <c r="Q137" s="1"/>
      <c r="R137" s="1"/>
    </row>
    <row r="138" spans="10:18" ht="12.75" customHeight="1" x14ac:dyDescent="0.25">
      <c r="J138" s="1"/>
      <c r="K138" s="1"/>
      <c r="Q138" s="1"/>
      <c r="R138" s="1"/>
    </row>
    <row r="139" spans="10:18" ht="12.75" customHeight="1" x14ac:dyDescent="0.25">
      <c r="J139" s="1"/>
      <c r="K139" s="1"/>
      <c r="Q139" s="1"/>
      <c r="R139" s="1"/>
    </row>
    <row r="140" spans="10:18" ht="12.75" customHeight="1" x14ac:dyDescent="0.25">
      <c r="J140" s="1"/>
      <c r="K140" s="1"/>
      <c r="Q140" s="1"/>
      <c r="R140" s="1"/>
    </row>
    <row r="141" spans="10:18" ht="12.75" customHeight="1" x14ac:dyDescent="0.25">
      <c r="J141" s="1"/>
      <c r="K141" s="1"/>
      <c r="Q141" s="1"/>
      <c r="R141" s="1"/>
    </row>
    <row r="142" spans="10:18" ht="12.75" customHeight="1" x14ac:dyDescent="0.25">
      <c r="J142" s="1"/>
      <c r="K142" s="1"/>
      <c r="Q142" s="1"/>
      <c r="R142" s="1"/>
    </row>
    <row r="143" spans="10:18" ht="12.75" customHeight="1" x14ac:dyDescent="0.25">
      <c r="J143" s="1"/>
      <c r="K143" s="1"/>
      <c r="Q143" s="1"/>
      <c r="R143" s="1"/>
    </row>
    <row r="144" spans="10:18" ht="12.75" customHeight="1" x14ac:dyDescent="0.25">
      <c r="J144" s="1"/>
      <c r="K144" s="1"/>
      <c r="Q144" s="1"/>
      <c r="R144" s="1"/>
    </row>
    <row r="145" spans="10:18" ht="12.75" customHeight="1" x14ac:dyDescent="0.25">
      <c r="J145" s="1"/>
      <c r="K145" s="1"/>
      <c r="Q145" s="1"/>
      <c r="R145" s="1"/>
    </row>
    <row r="146" spans="10:18" ht="12.75" customHeight="1" x14ac:dyDescent="0.25">
      <c r="J146" s="1"/>
      <c r="K146" s="1"/>
      <c r="Q146" s="1"/>
      <c r="R146" s="1"/>
    </row>
    <row r="147" spans="10:18" ht="12.75" customHeight="1" x14ac:dyDescent="0.25">
      <c r="J147" s="1"/>
      <c r="K147" s="1"/>
      <c r="Q147" s="1"/>
      <c r="R147" s="1"/>
    </row>
    <row r="148" spans="10:18" ht="12.75" customHeight="1" x14ac:dyDescent="0.25">
      <c r="J148" s="1"/>
      <c r="K148" s="1"/>
      <c r="Q148" s="1"/>
      <c r="R148" s="1"/>
    </row>
    <row r="149" spans="10:18" ht="12.75" customHeight="1" x14ac:dyDescent="0.25">
      <c r="J149" s="1"/>
      <c r="K149" s="1"/>
      <c r="Q149" s="1"/>
      <c r="R149" s="1"/>
    </row>
    <row r="150" spans="10:18" ht="12.75" customHeight="1" x14ac:dyDescent="0.25">
      <c r="J150" s="1"/>
      <c r="K150" s="1"/>
      <c r="Q150" s="1"/>
      <c r="R150" s="1"/>
    </row>
    <row r="151" spans="10:18" ht="12.75" customHeight="1" x14ac:dyDescent="0.25">
      <c r="J151" s="1"/>
      <c r="K151" s="1"/>
      <c r="Q151" s="1"/>
      <c r="R151" s="1"/>
    </row>
    <row r="152" spans="10:18" ht="12.75" customHeight="1" x14ac:dyDescent="0.25">
      <c r="J152" s="1"/>
      <c r="K152" s="1"/>
      <c r="Q152" s="1"/>
      <c r="R152" s="1"/>
    </row>
    <row r="153" spans="10:18" ht="12.75" customHeight="1" x14ac:dyDescent="0.25">
      <c r="J153" s="1"/>
      <c r="K153" s="1"/>
      <c r="Q153" s="1"/>
      <c r="R153" s="1"/>
    </row>
    <row r="154" spans="10:18" ht="12.75" customHeight="1" x14ac:dyDescent="0.25">
      <c r="J154" s="1"/>
      <c r="K154" s="1"/>
      <c r="Q154" s="1"/>
      <c r="R154" s="1"/>
    </row>
    <row r="155" spans="10:18" ht="12.75" customHeight="1" x14ac:dyDescent="0.25">
      <c r="J155" s="1"/>
      <c r="K155" s="1"/>
      <c r="Q155" s="1"/>
      <c r="R155" s="1"/>
    </row>
    <row r="156" spans="10:18" ht="12.75" customHeight="1" x14ac:dyDescent="0.25">
      <c r="J156" s="1"/>
      <c r="K156" s="1"/>
      <c r="Q156" s="1"/>
      <c r="R156" s="1"/>
    </row>
    <row r="157" spans="10:18" ht="12.75" customHeight="1" x14ac:dyDescent="0.25">
      <c r="J157" s="1"/>
      <c r="K157" s="1"/>
      <c r="Q157" s="1"/>
      <c r="R157" s="1"/>
    </row>
    <row r="158" spans="10:18" ht="12.75" customHeight="1" x14ac:dyDescent="0.25">
      <c r="J158" s="1"/>
      <c r="K158" s="1"/>
      <c r="Q158" s="1"/>
      <c r="R158" s="1"/>
    </row>
    <row r="159" spans="10:18" ht="12.75" customHeight="1" x14ac:dyDescent="0.25">
      <c r="J159" s="1"/>
      <c r="K159" s="1"/>
      <c r="Q159" s="1"/>
      <c r="R159" s="1"/>
    </row>
    <row r="160" spans="10:18" ht="12.75" customHeight="1" x14ac:dyDescent="0.25">
      <c r="J160" s="1"/>
      <c r="K160" s="1"/>
      <c r="Q160" s="1"/>
      <c r="R160" s="1"/>
    </row>
    <row r="161" spans="10:18" ht="12.75" customHeight="1" x14ac:dyDescent="0.25">
      <c r="J161" s="1"/>
      <c r="K161" s="1"/>
      <c r="Q161" s="1"/>
      <c r="R161" s="1"/>
    </row>
    <row r="162" spans="10:18" ht="12.75" customHeight="1" x14ac:dyDescent="0.25">
      <c r="J162" s="1"/>
      <c r="K162" s="1"/>
      <c r="Q162" s="1"/>
      <c r="R162" s="1"/>
    </row>
    <row r="163" spans="10:18" ht="12.75" customHeight="1" x14ac:dyDescent="0.25">
      <c r="J163" s="1"/>
      <c r="K163" s="1"/>
      <c r="Q163" s="1"/>
      <c r="R163" s="1"/>
    </row>
    <row r="164" spans="10:18" ht="12.75" customHeight="1" x14ac:dyDescent="0.25">
      <c r="J164" s="1"/>
      <c r="K164" s="1"/>
      <c r="Q164" s="1"/>
      <c r="R164" s="1"/>
    </row>
    <row r="165" spans="10:18" ht="12.75" customHeight="1" x14ac:dyDescent="0.25">
      <c r="J165" s="1"/>
      <c r="K165" s="1"/>
      <c r="Q165" s="1"/>
      <c r="R165" s="1"/>
    </row>
    <row r="166" spans="10:18" ht="12.75" customHeight="1" x14ac:dyDescent="0.25">
      <c r="J166" s="1"/>
      <c r="K166" s="1"/>
      <c r="Q166" s="1"/>
      <c r="R166" s="1"/>
    </row>
    <row r="167" spans="10:18" ht="12.75" customHeight="1" x14ac:dyDescent="0.25">
      <c r="J167" s="1"/>
      <c r="K167" s="1"/>
      <c r="Q167" s="1"/>
      <c r="R167" s="1"/>
    </row>
    <row r="168" spans="10:18" ht="12.75" customHeight="1" x14ac:dyDescent="0.25">
      <c r="J168" s="1"/>
      <c r="K168" s="1"/>
      <c r="Q168" s="1"/>
      <c r="R168" s="1"/>
    </row>
    <row r="169" spans="10:18" ht="12.75" customHeight="1" x14ac:dyDescent="0.25">
      <c r="J169" s="1"/>
      <c r="K169" s="1"/>
      <c r="Q169" s="1"/>
      <c r="R169" s="1"/>
    </row>
    <row r="170" spans="10:18" ht="12.75" customHeight="1" x14ac:dyDescent="0.25">
      <c r="J170" s="1"/>
      <c r="K170" s="1"/>
      <c r="Q170" s="1"/>
      <c r="R170" s="1"/>
    </row>
    <row r="171" spans="10:18" ht="12.75" customHeight="1" x14ac:dyDescent="0.25">
      <c r="J171" s="1"/>
      <c r="K171" s="1"/>
      <c r="Q171" s="1"/>
      <c r="R171" s="1"/>
    </row>
    <row r="172" spans="10:18" ht="12.75" customHeight="1" x14ac:dyDescent="0.25">
      <c r="J172" s="1"/>
      <c r="K172" s="1"/>
      <c r="Q172" s="1"/>
      <c r="R172" s="1"/>
    </row>
    <row r="173" spans="10:18" ht="12.75" customHeight="1" x14ac:dyDescent="0.25">
      <c r="J173" s="1"/>
      <c r="K173" s="1"/>
      <c r="Q173" s="1"/>
      <c r="R173" s="1"/>
    </row>
    <row r="174" spans="10:18" ht="12.75" customHeight="1" x14ac:dyDescent="0.25">
      <c r="J174" s="1"/>
      <c r="K174" s="1"/>
      <c r="Q174" s="1"/>
      <c r="R174" s="1"/>
    </row>
    <row r="175" spans="10:18" ht="12.75" customHeight="1" x14ac:dyDescent="0.25">
      <c r="J175" s="1"/>
      <c r="K175" s="1"/>
      <c r="Q175" s="1"/>
      <c r="R175" s="1"/>
    </row>
    <row r="176" spans="10:18" ht="12.75" customHeight="1" x14ac:dyDescent="0.25">
      <c r="J176" s="1"/>
      <c r="K176" s="1"/>
      <c r="Q176" s="1"/>
      <c r="R176" s="1"/>
    </row>
    <row r="177" spans="10:18" ht="12.75" customHeight="1" x14ac:dyDescent="0.25">
      <c r="J177" s="1"/>
      <c r="K177" s="1"/>
      <c r="Q177" s="1"/>
      <c r="R177" s="1"/>
    </row>
    <row r="178" spans="10:18" ht="12.75" customHeight="1" x14ac:dyDescent="0.25">
      <c r="J178" s="1"/>
      <c r="K178" s="1"/>
      <c r="Q178" s="1"/>
      <c r="R178" s="1"/>
    </row>
    <row r="179" spans="10:18" ht="12.75" customHeight="1" x14ac:dyDescent="0.25">
      <c r="J179" s="1"/>
      <c r="K179" s="1"/>
      <c r="Q179" s="1"/>
      <c r="R179" s="1"/>
    </row>
    <row r="180" spans="10:18" ht="12.75" customHeight="1" x14ac:dyDescent="0.25">
      <c r="J180" s="1"/>
      <c r="K180" s="1"/>
      <c r="Q180" s="1"/>
      <c r="R180" s="1"/>
    </row>
    <row r="181" spans="10:18" ht="12.75" customHeight="1" x14ac:dyDescent="0.25">
      <c r="J181" s="1"/>
      <c r="K181" s="1"/>
      <c r="Q181" s="1"/>
      <c r="R181" s="1"/>
    </row>
    <row r="182" spans="10:18" ht="12.75" customHeight="1" x14ac:dyDescent="0.25">
      <c r="J182" s="1"/>
      <c r="K182" s="1"/>
      <c r="Q182" s="1"/>
      <c r="R182" s="1"/>
    </row>
    <row r="183" spans="10:18" ht="12.75" customHeight="1" x14ac:dyDescent="0.25">
      <c r="J183" s="1"/>
      <c r="K183" s="1"/>
      <c r="Q183" s="1"/>
      <c r="R183" s="1"/>
    </row>
    <row r="184" spans="10:18" ht="12.75" customHeight="1" x14ac:dyDescent="0.25">
      <c r="J184" s="1"/>
      <c r="K184" s="1"/>
      <c r="Q184" s="1"/>
      <c r="R184" s="1"/>
    </row>
    <row r="185" spans="10:18" ht="12.75" customHeight="1" x14ac:dyDescent="0.25">
      <c r="J185" s="1"/>
      <c r="K185" s="1"/>
      <c r="Q185" s="1"/>
      <c r="R185" s="1"/>
    </row>
    <row r="186" spans="10:18" ht="12.75" customHeight="1" x14ac:dyDescent="0.25">
      <c r="J186" s="1"/>
      <c r="K186" s="1"/>
      <c r="Q186" s="1"/>
      <c r="R186" s="1"/>
    </row>
    <row r="187" spans="10:18" ht="12.75" customHeight="1" x14ac:dyDescent="0.25">
      <c r="J187" s="1"/>
      <c r="K187" s="1"/>
      <c r="Q187" s="1"/>
      <c r="R187" s="1"/>
    </row>
    <row r="188" spans="10:18" ht="12.75" customHeight="1" x14ac:dyDescent="0.25">
      <c r="J188" s="1"/>
      <c r="K188" s="1"/>
      <c r="Q188" s="1"/>
      <c r="R188" s="1"/>
    </row>
    <row r="189" spans="10:18" ht="12.75" customHeight="1" x14ac:dyDescent="0.25">
      <c r="J189" s="1"/>
      <c r="K189" s="1"/>
      <c r="Q189" s="1"/>
      <c r="R189" s="1"/>
    </row>
    <row r="190" spans="10:18" ht="12.75" customHeight="1" x14ac:dyDescent="0.25">
      <c r="J190" s="1"/>
      <c r="K190" s="1"/>
      <c r="Q190" s="1"/>
      <c r="R190" s="1"/>
    </row>
    <row r="191" spans="10:18" ht="12.75" customHeight="1" x14ac:dyDescent="0.25">
      <c r="J191" s="1"/>
      <c r="K191" s="1"/>
      <c r="Q191" s="1"/>
      <c r="R191" s="1"/>
    </row>
    <row r="192" spans="10:18" ht="12.75" customHeight="1" x14ac:dyDescent="0.25">
      <c r="J192" s="1"/>
      <c r="K192" s="1"/>
      <c r="Q192" s="1"/>
      <c r="R192" s="1"/>
    </row>
    <row r="193" spans="10:18" ht="12.75" customHeight="1" x14ac:dyDescent="0.25">
      <c r="J193" s="1"/>
      <c r="K193" s="1"/>
      <c r="Q193" s="1"/>
      <c r="R193" s="1"/>
    </row>
    <row r="194" spans="10:18" ht="12.75" customHeight="1" x14ac:dyDescent="0.25">
      <c r="J194" s="1"/>
      <c r="K194" s="1"/>
      <c r="Q194" s="1"/>
      <c r="R194" s="1"/>
    </row>
    <row r="195" spans="10:18" ht="12.75" customHeight="1" x14ac:dyDescent="0.25">
      <c r="J195" s="1"/>
      <c r="K195" s="1"/>
      <c r="Q195" s="1"/>
      <c r="R195" s="1"/>
    </row>
    <row r="196" spans="10:18" ht="12.75" customHeight="1" x14ac:dyDescent="0.25">
      <c r="J196" s="1"/>
      <c r="K196" s="1"/>
      <c r="Q196" s="1"/>
      <c r="R196" s="1"/>
    </row>
    <row r="197" spans="10:18" ht="12.75" customHeight="1" x14ac:dyDescent="0.25">
      <c r="J197" s="1"/>
      <c r="K197" s="1"/>
      <c r="Q197" s="1"/>
      <c r="R197" s="1"/>
    </row>
    <row r="198" spans="10:18" ht="12.75" customHeight="1" x14ac:dyDescent="0.25">
      <c r="J198" s="1"/>
      <c r="K198" s="1"/>
      <c r="Q198" s="1"/>
      <c r="R198" s="1"/>
    </row>
    <row r="199" spans="10:18" ht="12.75" customHeight="1" x14ac:dyDescent="0.25">
      <c r="J199" s="1"/>
      <c r="K199" s="1"/>
      <c r="Q199" s="1"/>
      <c r="R199" s="1"/>
    </row>
    <row r="200" spans="10:18" ht="12.75" customHeight="1" x14ac:dyDescent="0.25">
      <c r="J200" s="1"/>
      <c r="K200" s="1"/>
      <c r="Q200" s="1"/>
      <c r="R200" s="1"/>
    </row>
    <row r="201" spans="10:18" ht="12.75" customHeight="1" x14ac:dyDescent="0.25">
      <c r="J201" s="1"/>
      <c r="K201" s="1"/>
      <c r="Q201" s="1"/>
      <c r="R201" s="1"/>
    </row>
    <row r="202" spans="10:18" ht="12.75" customHeight="1" x14ac:dyDescent="0.25">
      <c r="J202" s="1"/>
      <c r="K202" s="1"/>
      <c r="Q202" s="1"/>
      <c r="R202" s="1"/>
    </row>
    <row r="203" spans="10:18" ht="12.75" customHeight="1" x14ac:dyDescent="0.25">
      <c r="J203" s="1"/>
      <c r="K203" s="1"/>
      <c r="Q203" s="1"/>
      <c r="R203" s="1"/>
    </row>
    <row r="204" spans="10:18" ht="12.75" customHeight="1" x14ac:dyDescent="0.25">
      <c r="J204" s="1"/>
      <c r="K204" s="1"/>
      <c r="Q204" s="1"/>
      <c r="R204" s="1"/>
    </row>
    <row r="205" spans="10:18" ht="12.75" customHeight="1" x14ac:dyDescent="0.25">
      <c r="J205" s="1"/>
      <c r="K205" s="1"/>
      <c r="Q205" s="1"/>
      <c r="R205" s="1"/>
    </row>
    <row r="206" spans="10:18" ht="12.75" customHeight="1" x14ac:dyDescent="0.25">
      <c r="J206" s="1"/>
      <c r="K206" s="1"/>
      <c r="Q206" s="1"/>
      <c r="R206" s="1"/>
    </row>
    <row r="207" spans="10:18" ht="12.75" customHeight="1" x14ac:dyDescent="0.25">
      <c r="J207" s="1"/>
      <c r="K207" s="1"/>
      <c r="Q207" s="1"/>
      <c r="R207" s="1"/>
    </row>
    <row r="208" spans="10:18" ht="12.75" customHeight="1" x14ac:dyDescent="0.25">
      <c r="J208" s="1"/>
      <c r="K208" s="1"/>
      <c r="Q208" s="1"/>
      <c r="R208" s="1"/>
    </row>
    <row r="209" spans="10:18" ht="12.75" customHeight="1" x14ac:dyDescent="0.25">
      <c r="J209" s="1"/>
      <c r="K209" s="1"/>
      <c r="Q209" s="1"/>
      <c r="R209" s="1"/>
    </row>
    <row r="210" spans="10:18" ht="12.75" customHeight="1" x14ac:dyDescent="0.25">
      <c r="J210" s="1"/>
      <c r="K210" s="1"/>
      <c r="Q210" s="1"/>
      <c r="R210" s="1"/>
    </row>
    <row r="211" spans="10:18" ht="12.75" customHeight="1" x14ac:dyDescent="0.25">
      <c r="J211" s="1"/>
      <c r="K211" s="1"/>
      <c r="Q211" s="1"/>
      <c r="R211" s="1"/>
    </row>
    <row r="212" spans="10:18" ht="12.75" customHeight="1" x14ac:dyDescent="0.25">
      <c r="J212" s="1"/>
      <c r="K212" s="1"/>
      <c r="Q212" s="1"/>
      <c r="R212" s="1"/>
    </row>
    <row r="213" spans="10:18" ht="12.75" customHeight="1" x14ac:dyDescent="0.25">
      <c r="J213" s="1"/>
      <c r="K213" s="1"/>
      <c r="Q213" s="1"/>
      <c r="R213" s="1"/>
    </row>
    <row r="214" spans="10:18" ht="12.75" customHeight="1" x14ac:dyDescent="0.25">
      <c r="J214" s="1"/>
      <c r="K214" s="1"/>
      <c r="Q214" s="1"/>
      <c r="R214" s="1"/>
    </row>
    <row r="215" spans="10:18" ht="12.75" customHeight="1" x14ac:dyDescent="0.25">
      <c r="J215" s="1"/>
      <c r="K215" s="1"/>
      <c r="Q215" s="1"/>
      <c r="R215" s="1"/>
    </row>
    <row r="216" spans="10:18" ht="12.75" customHeight="1" x14ac:dyDescent="0.25">
      <c r="J216" s="1"/>
      <c r="K216" s="1"/>
      <c r="Q216" s="1"/>
      <c r="R216" s="1"/>
    </row>
    <row r="217" spans="10:18" ht="12.75" customHeight="1" x14ac:dyDescent="0.25">
      <c r="J217" s="1"/>
      <c r="K217" s="1"/>
      <c r="Q217" s="1"/>
      <c r="R217" s="1"/>
    </row>
    <row r="218" spans="10:18" ht="12.75" customHeight="1" x14ac:dyDescent="0.25">
      <c r="J218" s="1"/>
      <c r="K218" s="1"/>
      <c r="Q218" s="1"/>
      <c r="R218" s="1"/>
    </row>
    <row r="219" spans="10:18" ht="12.75" customHeight="1" x14ac:dyDescent="0.25">
      <c r="J219" s="1"/>
      <c r="K219" s="1"/>
      <c r="Q219" s="1"/>
      <c r="R219" s="1"/>
    </row>
    <row r="220" spans="10:18" ht="12.75" customHeight="1" x14ac:dyDescent="0.25">
      <c r="J220" s="1"/>
      <c r="K220" s="1"/>
      <c r="Q220" s="1"/>
      <c r="R220" s="1"/>
    </row>
    <row r="221" spans="10:18" ht="12.75" customHeight="1" x14ac:dyDescent="0.25">
      <c r="J221" s="1"/>
      <c r="K221" s="1"/>
      <c r="Q221" s="1"/>
      <c r="R221" s="1"/>
    </row>
    <row r="222" spans="10:18" ht="12.75" customHeight="1" x14ac:dyDescent="0.25">
      <c r="J222" s="1"/>
      <c r="K222" s="1"/>
      <c r="Q222" s="1"/>
      <c r="R222" s="1"/>
    </row>
    <row r="223" spans="10:18" ht="12.75" customHeight="1" x14ac:dyDescent="0.25">
      <c r="J223" s="1"/>
      <c r="K223" s="1"/>
      <c r="Q223" s="1"/>
      <c r="R223" s="1"/>
    </row>
    <row r="224" spans="10:18" ht="12.75" customHeight="1" x14ac:dyDescent="0.25">
      <c r="J224" s="1"/>
      <c r="K224" s="1"/>
      <c r="Q224" s="1"/>
      <c r="R224" s="1"/>
    </row>
    <row r="225" spans="10:18" ht="12.75" customHeight="1" x14ac:dyDescent="0.25">
      <c r="J225" s="1"/>
      <c r="K225" s="1"/>
      <c r="Q225" s="1"/>
      <c r="R225" s="1"/>
    </row>
    <row r="226" spans="10:18" ht="12.75" customHeight="1" x14ac:dyDescent="0.25">
      <c r="J226" s="1"/>
      <c r="K226" s="1"/>
      <c r="Q226" s="1"/>
      <c r="R226" s="1"/>
    </row>
    <row r="227" spans="10:18" ht="12.75" customHeight="1" x14ac:dyDescent="0.25">
      <c r="J227" s="1"/>
      <c r="K227" s="1"/>
      <c r="Q227" s="1"/>
      <c r="R227" s="1"/>
    </row>
    <row r="228" spans="10:18" ht="12.75" customHeight="1" x14ac:dyDescent="0.25">
      <c r="J228" s="1"/>
      <c r="K228" s="1"/>
      <c r="Q228" s="1"/>
      <c r="R228" s="1"/>
    </row>
    <row r="229" spans="10:18" ht="12.75" customHeight="1" x14ac:dyDescent="0.25">
      <c r="J229" s="1"/>
      <c r="K229" s="1"/>
      <c r="Q229" s="1"/>
      <c r="R229" s="1"/>
    </row>
    <row r="230" spans="10:18" ht="12.75" customHeight="1" x14ac:dyDescent="0.25">
      <c r="J230" s="1"/>
      <c r="K230" s="1"/>
      <c r="Q230" s="1"/>
      <c r="R230" s="1"/>
    </row>
    <row r="231" spans="10:18" ht="12.75" customHeight="1" x14ac:dyDescent="0.25">
      <c r="J231" s="1"/>
      <c r="K231" s="1"/>
      <c r="Q231" s="1"/>
      <c r="R231" s="1"/>
    </row>
    <row r="232" spans="10:18" ht="12.75" customHeight="1" x14ac:dyDescent="0.25">
      <c r="J232" s="1"/>
      <c r="K232" s="1"/>
      <c r="Q232" s="1"/>
      <c r="R232" s="1"/>
    </row>
    <row r="233" spans="10:18" ht="12.75" customHeight="1" x14ac:dyDescent="0.25">
      <c r="J233" s="1"/>
      <c r="K233" s="1"/>
      <c r="Q233" s="1"/>
      <c r="R233" s="1"/>
    </row>
    <row r="234" spans="10:18" ht="12.75" customHeight="1" x14ac:dyDescent="0.25">
      <c r="J234" s="1"/>
      <c r="K234" s="1"/>
      <c r="Q234" s="1"/>
      <c r="R234" s="1"/>
    </row>
    <row r="235" spans="10:18" ht="12.75" customHeight="1" x14ac:dyDescent="0.25">
      <c r="J235" s="1"/>
      <c r="K235" s="1"/>
      <c r="Q235" s="1"/>
      <c r="R235" s="1"/>
    </row>
    <row r="236" spans="10:18" ht="12.75" customHeight="1" x14ac:dyDescent="0.25">
      <c r="J236" s="1"/>
      <c r="K236" s="1"/>
      <c r="Q236" s="1"/>
      <c r="R236" s="1"/>
    </row>
    <row r="237" spans="10:18" ht="12.75" customHeight="1" x14ac:dyDescent="0.25">
      <c r="J237" s="1"/>
      <c r="K237" s="1"/>
      <c r="Q237" s="1"/>
      <c r="R237" s="1"/>
    </row>
    <row r="238" spans="10:18" ht="12.75" customHeight="1" x14ac:dyDescent="0.25">
      <c r="J238" s="1"/>
      <c r="K238" s="1"/>
      <c r="Q238" s="1"/>
      <c r="R238" s="1"/>
    </row>
    <row r="239" spans="10:18" ht="12.75" customHeight="1" x14ac:dyDescent="0.25">
      <c r="J239" s="1"/>
      <c r="K239" s="1"/>
      <c r="Q239" s="1"/>
      <c r="R239" s="1"/>
    </row>
    <row r="240" spans="10:18" ht="12.75" customHeight="1" x14ac:dyDescent="0.25">
      <c r="J240" s="1"/>
      <c r="K240" s="1"/>
      <c r="Q240" s="1"/>
      <c r="R240" s="1"/>
    </row>
    <row r="241" spans="10:18" ht="12.75" customHeight="1" x14ac:dyDescent="0.25">
      <c r="J241" s="1"/>
      <c r="K241" s="1"/>
      <c r="Q241" s="1"/>
      <c r="R241" s="1"/>
    </row>
    <row r="242" spans="10:18" ht="12.75" customHeight="1" x14ac:dyDescent="0.25">
      <c r="J242" s="1"/>
      <c r="K242" s="1"/>
      <c r="Q242" s="1"/>
      <c r="R242" s="1"/>
    </row>
    <row r="243" spans="10:18" ht="12.75" customHeight="1" x14ac:dyDescent="0.25">
      <c r="J243" s="1"/>
      <c r="K243" s="1"/>
      <c r="Q243" s="1"/>
      <c r="R243" s="1"/>
    </row>
    <row r="244" spans="10:18" ht="12.75" customHeight="1" x14ac:dyDescent="0.25">
      <c r="J244" s="1"/>
      <c r="K244" s="1"/>
      <c r="Q244" s="1"/>
      <c r="R244" s="1"/>
    </row>
    <row r="245" spans="10:18" ht="12.75" customHeight="1" x14ac:dyDescent="0.25">
      <c r="J245" s="1"/>
      <c r="K245" s="1"/>
      <c r="Q245" s="1"/>
      <c r="R245" s="1"/>
    </row>
    <row r="246" spans="10:18" ht="12.75" customHeight="1" x14ac:dyDescent="0.25">
      <c r="J246" s="1"/>
      <c r="K246" s="1"/>
      <c r="Q246" s="1"/>
      <c r="R246" s="1"/>
    </row>
    <row r="247" spans="10:18" ht="12.75" customHeight="1" x14ac:dyDescent="0.25">
      <c r="J247" s="1"/>
      <c r="K247" s="1"/>
      <c r="Q247" s="1"/>
      <c r="R247" s="1"/>
    </row>
    <row r="248" spans="10:18" ht="12.75" customHeight="1" x14ac:dyDescent="0.25">
      <c r="J248" s="1"/>
      <c r="K248" s="1"/>
      <c r="Q248" s="1"/>
      <c r="R248" s="1"/>
    </row>
    <row r="249" spans="10:18" ht="12.75" customHeight="1" x14ac:dyDescent="0.25">
      <c r="J249" s="1"/>
      <c r="K249" s="1"/>
      <c r="Q249" s="1"/>
      <c r="R249" s="1"/>
    </row>
    <row r="250" spans="10:18" ht="12.75" customHeight="1" x14ac:dyDescent="0.25">
      <c r="J250" s="1"/>
      <c r="K250" s="1"/>
      <c r="Q250" s="1"/>
      <c r="R250" s="1"/>
    </row>
    <row r="251" spans="10:18" ht="12.75" customHeight="1" x14ac:dyDescent="0.25">
      <c r="J251" s="1"/>
      <c r="K251" s="1"/>
      <c r="Q251" s="1"/>
      <c r="R251" s="1"/>
    </row>
    <row r="252" spans="10:18" ht="12.75" customHeight="1" x14ac:dyDescent="0.25">
      <c r="J252" s="1"/>
      <c r="K252" s="1"/>
      <c r="Q252" s="1"/>
      <c r="R252" s="1"/>
    </row>
    <row r="253" spans="10:18" ht="12.75" customHeight="1" x14ac:dyDescent="0.25">
      <c r="J253" s="1"/>
      <c r="K253" s="1"/>
      <c r="Q253" s="1"/>
      <c r="R253" s="1"/>
    </row>
    <row r="254" spans="10:18" ht="12.75" customHeight="1" x14ac:dyDescent="0.25">
      <c r="J254" s="1"/>
      <c r="K254" s="1"/>
      <c r="Q254" s="1"/>
      <c r="R254" s="1"/>
    </row>
    <row r="255" spans="10:18" ht="12.75" customHeight="1" x14ac:dyDescent="0.25">
      <c r="J255" s="1"/>
      <c r="K255" s="1"/>
      <c r="Q255" s="1"/>
      <c r="R255" s="1"/>
    </row>
    <row r="256" spans="10:18" ht="12.75" customHeight="1" x14ac:dyDescent="0.25">
      <c r="J256" s="1"/>
      <c r="K256" s="1"/>
      <c r="Q256" s="1"/>
      <c r="R256" s="1"/>
    </row>
    <row r="257" spans="10:18" ht="12.75" customHeight="1" x14ac:dyDescent="0.25">
      <c r="J257" s="1"/>
      <c r="K257" s="1"/>
      <c r="Q257" s="1"/>
      <c r="R257" s="1"/>
    </row>
    <row r="258" spans="10:18" ht="12.75" customHeight="1" x14ac:dyDescent="0.25">
      <c r="J258" s="1"/>
      <c r="K258" s="1"/>
      <c r="Q258" s="1"/>
      <c r="R258" s="1"/>
    </row>
    <row r="259" spans="10:18" ht="12.75" customHeight="1" x14ac:dyDescent="0.25">
      <c r="J259" s="1"/>
      <c r="K259" s="1"/>
      <c r="Q259" s="1"/>
      <c r="R259" s="1"/>
    </row>
    <row r="260" spans="10:18" ht="12.75" customHeight="1" x14ac:dyDescent="0.25">
      <c r="J260" s="1"/>
      <c r="K260" s="1"/>
      <c r="Q260" s="1"/>
      <c r="R260" s="1"/>
    </row>
    <row r="261" spans="10:18" ht="12.75" customHeight="1" x14ac:dyDescent="0.25">
      <c r="J261" s="1"/>
      <c r="K261" s="1"/>
      <c r="Q261" s="1"/>
      <c r="R261" s="1"/>
    </row>
    <row r="262" spans="10:18" ht="12.75" customHeight="1" x14ac:dyDescent="0.25">
      <c r="J262" s="1"/>
      <c r="K262" s="1"/>
      <c r="Q262" s="1"/>
      <c r="R262" s="1"/>
    </row>
    <row r="263" spans="10:18" ht="12.75" customHeight="1" x14ac:dyDescent="0.25">
      <c r="J263" s="1"/>
      <c r="K263" s="1"/>
      <c r="Q263" s="1"/>
      <c r="R263" s="1"/>
    </row>
    <row r="264" spans="10:18" ht="12.75" customHeight="1" x14ac:dyDescent="0.25">
      <c r="J264" s="1"/>
      <c r="K264" s="1"/>
      <c r="Q264" s="1"/>
      <c r="R264" s="1"/>
    </row>
    <row r="265" spans="10:18" ht="12.75" customHeight="1" x14ac:dyDescent="0.25">
      <c r="J265" s="1"/>
      <c r="K265" s="1"/>
      <c r="Q265" s="1"/>
      <c r="R265" s="1"/>
    </row>
    <row r="266" spans="10:18" ht="12.75" customHeight="1" x14ac:dyDescent="0.25">
      <c r="J266" s="1"/>
      <c r="K266" s="1"/>
      <c r="Q266" s="1"/>
      <c r="R266" s="1"/>
    </row>
    <row r="267" spans="10:18" ht="12.75" customHeight="1" x14ac:dyDescent="0.25">
      <c r="J267" s="1"/>
      <c r="K267" s="1"/>
      <c r="Q267" s="1"/>
      <c r="R267" s="1"/>
    </row>
    <row r="268" spans="10:18" ht="12.75" customHeight="1" x14ac:dyDescent="0.25">
      <c r="J268" s="1"/>
      <c r="K268" s="1"/>
      <c r="Q268" s="1"/>
      <c r="R268" s="1"/>
    </row>
    <row r="269" spans="10:18" ht="12.75" customHeight="1" x14ac:dyDescent="0.25">
      <c r="J269" s="1"/>
      <c r="K269" s="1"/>
      <c r="Q269" s="1"/>
      <c r="R269" s="1"/>
    </row>
    <row r="270" spans="10:18" ht="12.75" customHeight="1" x14ac:dyDescent="0.25">
      <c r="J270" s="1"/>
      <c r="K270" s="1"/>
      <c r="Q270" s="1"/>
      <c r="R270" s="1"/>
    </row>
    <row r="271" spans="10:18" ht="12.75" customHeight="1" x14ac:dyDescent="0.25">
      <c r="J271" s="1"/>
      <c r="K271" s="1"/>
      <c r="Q271" s="1"/>
      <c r="R271" s="1"/>
    </row>
    <row r="272" spans="10:18" ht="12.75" customHeight="1" x14ac:dyDescent="0.25">
      <c r="J272" s="1"/>
      <c r="K272" s="1"/>
      <c r="Q272" s="1"/>
      <c r="R272" s="1"/>
    </row>
    <row r="273" spans="10:18" ht="12.75" customHeight="1" x14ac:dyDescent="0.25">
      <c r="J273" s="1"/>
      <c r="K273" s="1"/>
      <c r="Q273" s="1"/>
      <c r="R273" s="1"/>
    </row>
    <row r="274" spans="10:18" ht="12.75" customHeight="1" x14ac:dyDescent="0.25">
      <c r="J274" s="1"/>
      <c r="K274" s="1"/>
      <c r="Q274" s="1"/>
      <c r="R274" s="1"/>
    </row>
    <row r="275" spans="10:18" ht="12.75" customHeight="1" x14ac:dyDescent="0.25">
      <c r="J275" s="1"/>
      <c r="K275" s="1"/>
      <c r="Q275" s="1"/>
      <c r="R275" s="1"/>
    </row>
    <row r="276" spans="10:18" ht="12.75" customHeight="1" x14ac:dyDescent="0.25">
      <c r="J276" s="1"/>
      <c r="K276" s="1"/>
      <c r="Q276" s="1"/>
      <c r="R276" s="1"/>
    </row>
    <row r="277" spans="10:18" ht="12.75" customHeight="1" x14ac:dyDescent="0.25">
      <c r="J277" s="1"/>
      <c r="K277" s="1"/>
      <c r="Q277" s="1"/>
      <c r="R277" s="1"/>
    </row>
    <row r="278" spans="10:18" ht="12.75" customHeight="1" x14ac:dyDescent="0.25">
      <c r="J278" s="1"/>
      <c r="K278" s="1"/>
      <c r="Q278" s="1"/>
      <c r="R278" s="1"/>
    </row>
    <row r="279" spans="10:18" ht="12.75" customHeight="1" x14ac:dyDescent="0.25">
      <c r="J279" s="1"/>
      <c r="K279" s="1"/>
      <c r="Q279" s="1"/>
      <c r="R279" s="1"/>
    </row>
    <row r="280" spans="10:18" ht="12.75" customHeight="1" x14ac:dyDescent="0.25">
      <c r="J280" s="1"/>
      <c r="K280" s="1"/>
      <c r="Q280" s="1"/>
      <c r="R280" s="1"/>
    </row>
    <row r="281" spans="10:18" ht="12.75" customHeight="1" x14ac:dyDescent="0.25">
      <c r="J281" s="1"/>
      <c r="K281" s="1"/>
      <c r="Q281" s="1"/>
      <c r="R281" s="1"/>
    </row>
    <row r="282" spans="10:18" ht="12.75" customHeight="1" x14ac:dyDescent="0.25">
      <c r="J282" s="1"/>
      <c r="K282" s="1"/>
      <c r="Q282" s="1"/>
      <c r="R282" s="1"/>
    </row>
    <row r="283" spans="10:18" ht="12.75" customHeight="1" x14ac:dyDescent="0.25">
      <c r="J283" s="1"/>
      <c r="K283" s="1"/>
      <c r="Q283" s="1"/>
      <c r="R283" s="1"/>
    </row>
    <row r="284" spans="10:18" ht="12.75" customHeight="1" x14ac:dyDescent="0.25">
      <c r="J284" s="1"/>
      <c r="K284" s="1"/>
      <c r="Q284" s="1"/>
      <c r="R284" s="1"/>
    </row>
    <row r="285" spans="10:18" ht="12.75" customHeight="1" x14ac:dyDescent="0.25">
      <c r="J285" s="1"/>
      <c r="K285" s="1"/>
      <c r="Q285" s="1"/>
      <c r="R285" s="1"/>
    </row>
    <row r="286" spans="10:18" ht="12.75" customHeight="1" x14ac:dyDescent="0.25">
      <c r="J286" s="1"/>
      <c r="K286" s="1"/>
      <c r="Q286" s="1"/>
      <c r="R286" s="1"/>
    </row>
    <row r="287" spans="10:18" ht="12.75" customHeight="1" x14ac:dyDescent="0.25">
      <c r="J287" s="1"/>
      <c r="K287" s="1"/>
      <c r="Q287" s="1"/>
      <c r="R287" s="1"/>
    </row>
    <row r="288" spans="10:18" ht="12.75" customHeight="1" x14ac:dyDescent="0.25">
      <c r="J288" s="1"/>
      <c r="K288" s="1"/>
      <c r="Q288" s="1"/>
      <c r="R288" s="1"/>
    </row>
    <row r="289" spans="10:18" ht="12.75" customHeight="1" x14ac:dyDescent="0.25">
      <c r="J289" s="1"/>
      <c r="K289" s="1"/>
      <c r="Q289" s="1"/>
      <c r="R289" s="1"/>
    </row>
    <row r="290" spans="10:18" ht="12.75" customHeight="1" x14ac:dyDescent="0.25">
      <c r="J290" s="1"/>
      <c r="K290" s="1"/>
      <c r="Q290" s="1"/>
      <c r="R290" s="1"/>
    </row>
    <row r="291" spans="10:18" ht="12.75" customHeight="1" x14ac:dyDescent="0.25">
      <c r="J291" s="1"/>
      <c r="K291" s="1"/>
      <c r="Q291" s="1"/>
      <c r="R291" s="1"/>
    </row>
    <row r="292" spans="10:18" ht="12.75" customHeight="1" x14ac:dyDescent="0.25">
      <c r="J292" s="1"/>
      <c r="K292" s="1"/>
      <c r="Q292" s="1"/>
      <c r="R292" s="1"/>
    </row>
    <row r="293" spans="10:18" ht="12.75" customHeight="1" x14ac:dyDescent="0.25">
      <c r="J293" s="1"/>
      <c r="K293" s="1"/>
      <c r="Q293" s="1"/>
      <c r="R293" s="1"/>
    </row>
    <row r="294" spans="10:18" ht="12.75" customHeight="1" x14ac:dyDescent="0.25">
      <c r="J294" s="1"/>
      <c r="K294" s="1"/>
      <c r="Q294" s="1"/>
      <c r="R294" s="1"/>
    </row>
    <row r="295" spans="10:18" ht="12.75" customHeight="1" x14ac:dyDescent="0.25">
      <c r="J295" s="1"/>
      <c r="K295" s="1"/>
      <c r="Q295" s="1"/>
      <c r="R295" s="1"/>
    </row>
    <row r="296" spans="10:18" ht="12.75" customHeight="1" x14ac:dyDescent="0.25">
      <c r="J296" s="1"/>
      <c r="K296" s="1"/>
      <c r="Q296" s="1"/>
      <c r="R296" s="1"/>
    </row>
    <row r="297" spans="10:18" ht="12.75" customHeight="1" x14ac:dyDescent="0.25">
      <c r="J297" s="1"/>
      <c r="K297" s="1"/>
      <c r="Q297" s="1"/>
      <c r="R297" s="1"/>
    </row>
    <row r="298" spans="10:18" ht="12.75" customHeight="1" x14ac:dyDescent="0.25">
      <c r="J298" s="1"/>
      <c r="K298" s="1"/>
      <c r="Q298" s="1"/>
      <c r="R298" s="1"/>
    </row>
    <row r="299" spans="10:18" ht="12.75" customHeight="1" x14ac:dyDescent="0.25">
      <c r="J299" s="1"/>
      <c r="K299" s="1"/>
      <c r="Q299" s="1"/>
      <c r="R299" s="1"/>
    </row>
    <row r="300" spans="10:18" ht="12.75" customHeight="1" x14ac:dyDescent="0.25">
      <c r="J300" s="1"/>
      <c r="K300" s="1"/>
      <c r="Q300" s="1"/>
      <c r="R300" s="1"/>
    </row>
    <row r="301" spans="10:18" ht="12.75" customHeight="1" x14ac:dyDescent="0.25">
      <c r="J301" s="1"/>
      <c r="K301" s="1"/>
      <c r="Q301" s="1"/>
      <c r="R301" s="1"/>
    </row>
    <row r="302" spans="10:18" ht="12.75" customHeight="1" x14ac:dyDescent="0.25">
      <c r="J302" s="1"/>
      <c r="K302" s="1"/>
      <c r="Q302" s="1"/>
      <c r="R302" s="1"/>
    </row>
    <row r="303" spans="10:18" ht="12.75" customHeight="1" x14ac:dyDescent="0.25">
      <c r="J303" s="1"/>
      <c r="K303" s="1"/>
      <c r="Q303" s="1"/>
      <c r="R303" s="1"/>
    </row>
    <row r="304" spans="10:18" ht="12.75" customHeight="1" x14ac:dyDescent="0.25">
      <c r="J304" s="1"/>
      <c r="K304" s="1"/>
      <c r="Q304" s="1"/>
      <c r="R304" s="1"/>
    </row>
    <row r="305" spans="10:18" ht="12.75" customHeight="1" x14ac:dyDescent="0.25">
      <c r="J305" s="1"/>
      <c r="K305" s="1"/>
      <c r="Q305" s="1"/>
      <c r="R305" s="1"/>
    </row>
    <row r="306" spans="10:18" ht="12.75" customHeight="1" x14ac:dyDescent="0.25">
      <c r="J306" s="1"/>
      <c r="K306" s="1"/>
      <c r="Q306" s="1"/>
      <c r="R306" s="1"/>
    </row>
    <row r="307" spans="10:18" ht="12.75" customHeight="1" x14ac:dyDescent="0.25">
      <c r="J307" s="1"/>
      <c r="K307" s="1"/>
      <c r="Q307" s="1"/>
      <c r="R307" s="1"/>
    </row>
    <row r="308" spans="10:18" ht="12.75" customHeight="1" x14ac:dyDescent="0.25">
      <c r="J308" s="1"/>
      <c r="K308" s="1"/>
      <c r="Q308" s="1"/>
      <c r="R308" s="1"/>
    </row>
    <row r="309" spans="10:18" ht="12.75" customHeight="1" x14ac:dyDescent="0.25">
      <c r="J309" s="1"/>
      <c r="K309" s="1"/>
      <c r="Q309" s="1"/>
      <c r="R309" s="1"/>
    </row>
    <row r="310" spans="10:18" ht="12.75" customHeight="1" x14ac:dyDescent="0.25">
      <c r="J310" s="1"/>
      <c r="K310" s="1"/>
      <c r="Q310" s="1"/>
      <c r="R310" s="1"/>
    </row>
    <row r="311" spans="10:18" ht="12.75" customHeight="1" x14ac:dyDescent="0.25">
      <c r="J311" s="1"/>
      <c r="K311" s="1"/>
      <c r="Q311" s="1"/>
      <c r="R311" s="1"/>
    </row>
    <row r="312" spans="10:18" ht="12.75" customHeight="1" x14ac:dyDescent="0.25">
      <c r="J312" s="1"/>
      <c r="K312" s="1"/>
      <c r="Q312" s="1"/>
      <c r="R312" s="1"/>
    </row>
    <row r="313" spans="10:18" ht="12.75" customHeight="1" x14ac:dyDescent="0.25">
      <c r="J313" s="1"/>
      <c r="K313" s="1"/>
      <c r="Q313" s="1"/>
      <c r="R313" s="1"/>
    </row>
    <row r="314" spans="10:18" ht="12.75" customHeight="1" x14ac:dyDescent="0.25">
      <c r="J314" s="1"/>
      <c r="K314" s="1"/>
      <c r="Q314" s="1"/>
      <c r="R314" s="1"/>
    </row>
    <row r="315" spans="10:18" ht="12.75" customHeight="1" x14ac:dyDescent="0.25">
      <c r="J315" s="1"/>
      <c r="K315" s="1"/>
      <c r="Q315" s="1"/>
      <c r="R315" s="1"/>
    </row>
    <row r="316" spans="10:18" ht="12.75" customHeight="1" x14ac:dyDescent="0.25">
      <c r="J316" s="1"/>
      <c r="K316" s="1"/>
      <c r="Q316" s="1"/>
      <c r="R316" s="1"/>
    </row>
    <row r="317" spans="10:18" ht="12.75" customHeight="1" x14ac:dyDescent="0.25">
      <c r="J317" s="1"/>
      <c r="K317" s="1"/>
      <c r="Q317" s="1"/>
      <c r="R317" s="1"/>
    </row>
    <row r="318" spans="10:18" ht="12.75" customHeight="1" x14ac:dyDescent="0.25">
      <c r="J318" s="1"/>
      <c r="K318" s="1"/>
      <c r="Q318" s="1"/>
      <c r="R318" s="1"/>
    </row>
    <row r="319" spans="10:18" ht="12.75" customHeight="1" x14ac:dyDescent="0.25">
      <c r="J319" s="1"/>
      <c r="K319" s="1"/>
      <c r="Q319" s="1"/>
      <c r="R319" s="1"/>
    </row>
    <row r="320" spans="10:18" ht="12.75" customHeight="1" x14ac:dyDescent="0.25">
      <c r="J320" s="1"/>
      <c r="K320" s="1"/>
      <c r="Q320" s="1"/>
      <c r="R320" s="1"/>
    </row>
    <row r="321" spans="10:18" ht="12.75" customHeight="1" x14ac:dyDescent="0.25">
      <c r="J321" s="1"/>
      <c r="K321" s="1"/>
      <c r="Q321" s="1"/>
      <c r="R321" s="1"/>
    </row>
    <row r="322" spans="10:18" ht="12.75" customHeight="1" x14ac:dyDescent="0.25">
      <c r="J322" s="1"/>
      <c r="K322" s="1"/>
      <c r="Q322" s="1"/>
      <c r="R322" s="1"/>
    </row>
    <row r="323" spans="10:18" ht="12.75" customHeight="1" x14ac:dyDescent="0.25">
      <c r="J323" s="1"/>
      <c r="K323" s="1"/>
      <c r="Q323" s="1"/>
      <c r="R323" s="1"/>
    </row>
    <row r="324" spans="10:18" ht="12.75" customHeight="1" x14ac:dyDescent="0.25">
      <c r="J324" s="1"/>
      <c r="K324" s="1"/>
      <c r="Q324" s="1"/>
      <c r="R324" s="1"/>
    </row>
    <row r="325" spans="10:18" ht="12.75" customHeight="1" x14ac:dyDescent="0.25">
      <c r="J325" s="1"/>
      <c r="K325" s="1"/>
      <c r="Q325" s="1"/>
      <c r="R325" s="1"/>
    </row>
    <row r="326" spans="10:18" ht="12.75" customHeight="1" x14ac:dyDescent="0.25">
      <c r="J326" s="1"/>
      <c r="K326" s="1"/>
      <c r="Q326" s="1"/>
      <c r="R326" s="1"/>
    </row>
    <row r="327" spans="10:18" ht="12.75" customHeight="1" x14ac:dyDescent="0.25">
      <c r="J327" s="1"/>
      <c r="K327" s="1"/>
      <c r="Q327" s="1"/>
      <c r="R327" s="1"/>
    </row>
    <row r="328" spans="10:18" ht="12.75" customHeight="1" x14ac:dyDescent="0.25">
      <c r="J328" s="1"/>
      <c r="K328" s="1"/>
      <c r="Q328" s="1"/>
      <c r="R328" s="1"/>
    </row>
    <row r="329" spans="10:18" ht="12.75" customHeight="1" x14ac:dyDescent="0.25">
      <c r="J329" s="1"/>
      <c r="K329" s="1"/>
      <c r="Q329" s="1"/>
      <c r="R329" s="1"/>
    </row>
    <row r="330" spans="10:18" ht="12.75" customHeight="1" x14ac:dyDescent="0.25">
      <c r="J330" s="1"/>
      <c r="K330" s="1"/>
      <c r="Q330" s="1"/>
      <c r="R330" s="1"/>
    </row>
    <row r="331" spans="10:18" ht="12.75" customHeight="1" x14ac:dyDescent="0.25">
      <c r="J331" s="1"/>
      <c r="K331" s="1"/>
      <c r="Q331" s="1"/>
      <c r="R331" s="1"/>
    </row>
    <row r="332" spans="10:18" ht="12.75" customHeight="1" x14ac:dyDescent="0.25">
      <c r="J332" s="1"/>
      <c r="K332" s="1"/>
      <c r="Q332" s="1"/>
      <c r="R332" s="1"/>
    </row>
    <row r="333" spans="10:18" ht="12.75" customHeight="1" x14ac:dyDescent="0.25">
      <c r="J333" s="1"/>
      <c r="K333" s="1"/>
      <c r="Q333" s="1"/>
      <c r="R333" s="1"/>
    </row>
    <row r="334" spans="10:18" ht="12.75" customHeight="1" x14ac:dyDescent="0.25">
      <c r="J334" s="1"/>
      <c r="K334" s="1"/>
      <c r="Q334" s="1"/>
      <c r="R334" s="1"/>
    </row>
    <row r="335" spans="10:18" ht="12.75" customHeight="1" x14ac:dyDescent="0.25">
      <c r="J335" s="1"/>
      <c r="K335" s="1"/>
      <c r="Q335" s="1"/>
      <c r="R335" s="1"/>
    </row>
  </sheetData>
  <autoFilter ref="B31:H45"/>
  <mergeCells count="8">
    <mergeCell ref="G5:H5"/>
    <mergeCell ref="J5:K5"/>
    <mergeCell ref="N5:O5"/>
    <mergeCell ref="Q5:R5"/>
    <mergeCell ref="G28:H28"/>
    <mergeCell ref="J28:K28"/>
    <mergeCell ref="N28:O28"/>
    <mergeCell ref="Q28:R28"/>
  </mergeCells>
  <conditionalFormatting sqref="C1:C10">
    <cfRule type="containsText" dxfId="16" priority="95" operator="containsText" text="SORTIE">
      <formula>NOT(ISERROR(SEARCH("SORTIE",C1)))</formula>
    </cfRule>
  </conditionalFormatting>
  <conditionalFormatting sqref="C20:C32 C45:C1048576">
    <cfRule type="containsText" dxfId="15" priority="50" operator="containsText" text="SORTIE">
      <formula>NOT(ISERROR(SEARCH("SORTIE",C20)))</formula>
    </cfRule>
  </conditionalFormatting>
  <conditionalFormatting sqref="D45:D1048576 D1:D10 D20:D32">
    <cfRule type="duplicateValues" dxfId="14" priority="130"/>
  </conditionalFormatting>
  <conditionalFormatting sqref="E1:E10 E18:E32 E45:E1048576">
    <cfRule type="containsText" dxfId="13" priority="13" operator="containsText" text="LIVRAISON SAEPP">
      <formula>NOT(ISERROR(SEARCH("LIVRAISON SAEPP",E1)))</formula>
    </cfRule>
  </conditionalFormatting>
  <conditionalFormatting sqref="K9:K21 R9:R21 R32:R45 K32:K45">
    <cfRule type="cellIs" dxfId="12" priority="106" operator="equal">
      <formula>""""""</formula>
    </cfRule>
    <cfRule type="cellIs" dxfId="11" priority="107" operator="equal">
      <formula>0</formula>
    </cfRule>
    <cfRule type="cellIs" dxfId="10" priority="108" operator="lessThan">
      <formula>0</formula>
    </cfRule>
    <cfRule type="cellIs" dxfId="9" priority="109" operator="greaterThan">
      <formula>0</formula>
    </cfRule>
  </conditionalFormatting>
  <dataValidations count="1">
    <dataValidation type="list" allowBlank="1" showInputMessage="1" showErrorMessage="1" sqref="C9:C22 C32:C46">
      <formula1>"Entrée,Sortie"</formula1>
    </dataValidation>
  </dataValidations>
  <hyperlinks>
    <hyperlink ref="R1" location="Accueil!A1" tooltip="Menu" display="Menu"/>
  </hyperlinks>
  <pageMargins left="0.23622047244094491" right="0.23622047244094491" top="0.74803149606299213" bottom="0.74803149606299213" header="0.31496062992125984" footer="0.31496062992125984"/>
  <pageSetup scale="87" fitToHeight="0" orientation="landscape" r:id="rId1"/>
  <headerFooter>
    <oddFooter>&amp;L&amp;F / &amp;A&amp;C&amp;P/&amp;N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W265"/>
  <sheetViews>
    <sheetView showGridLines="0" tabSelected="1" topLeftCell="D26" zoomScaleNormal="100" workbookViewId="0">
      <selection activeCell="G51" sqref="G51"/>
    </sheetView>
  </sheetViews>
  <sheetFormatPr baseColWidth="10" defaultColWidth="12.5546875" defaultRowHeight="13.2" outlineLevelRow="1" x14ac:dyDescent="0.25"/>
  <cols>
    <col min="1" max="1" width="2.109375" customWidth="1"/>
    <col min="2" max="2" width="12.88671875" style="9" customWidth="1"/>
    <col min="3" max="3" width="26.88671875" customWidth="1"/>
    <col min="4" max="4" width="18.33203125" customWidth="1"/>
    <col min="5" max="7" width="13.88671875" customWidth="1"/>
    <col min="8" max="8" width="11.5546875" customWidth="1"/>
    <col min="9" max="9" width="0.88671875" customWidth="1"/>
    <col min="10" max="10" width="10.44140625" customWidth="1"/>
    <col min="11" max="11" width="9.6640625" customWidth="1"/>
    <col min="12" max="12" width="3.5546875" customWidth="1"/>
    <col min="13" max="13" width="13.88671875" customWidth="1"/>
    <col min="14" max="14" width="9.5546875" customWidth="1"/>
    <col min="15" max="15" width="13.88671875" customWidth="1"/>
    <col min="16" max="16" width="11.5546875" customWidth="1"/>
    <col min="17" max="17" width="0.88671875" customWidth="1"/>
    <col min="18" max="18" width="9.88671875" customWidth="1"/>
    <col min="19" max="19" width="9.6640625" customWidth="1"/>
    <col min="20" max="20" width="0.6640625" customWidth="1"/>
    <col min="21" max="21" width="44.88671875" style="194" hidden="1" customWidth="1"/>
    <col min="22" max="22" width="12.33203125" customWidth="1"/>
    <col min="23" max="28" width="10" customWidth="1"/>
  </cols>
  <sheetData>
    <row r="1" spans="2:23" ht="12.75" customHeight="1" x14ac:dyDescent="0.25">
      <c r="B1" s="8" t="s">
        <v>22</v>
      </c>
      <c r="S1" s="193" t="s">
        <v>36</v>
      </c>
      <c r="V1" t="str">
        <f ca="1">TEXT(TODAY(),"dd/mm/yyyy")</f>
        <v>05/01/2026</v>
      </c>
    </row>
    <row r="2" spans="2:23" ht="12.75" customHeight="1" x14ac:dyDescent="0.25">
      <c r="R2" s="195" t="s">
        <v>52</v>
      </c>
      <c r="S2" s="196">
        <v>2025</v>
      </c>
      <c r="V2" s="9"/>
    </row>
    <row r="3" spans="2:23" ht="23.25" customHeight="1" x14ac:dyDescent="0.4">
      <c r="B3" s="14" t="s">
        <v>6</v>
      </c>
      <c r="E3" s="36" t="s">
        <v>90</v>
      </c>
      <c r="F3" s="36"/>
      <c r="G3" s="36"/>
      <c r="J3" s="1"/>
      <c r="K3" s="1"/>
      <c r="M3" s="36"/>
      <c r="N3" s="36"/>
      <c r="O3" s="273"/>
      <c r="R3" s="195" t="s">
        <v>53</v>
      </c>
      <c r="S3" s="291" t="str">
        <f ca="1">TEXT(TODAY(),"mmmm")</f>
        <v>janvier</v>
      </c>
      <c r="W3" s="9"/>
    </row>
    <row r="4" spans="2:23" ht="12.75" customHeight="1" x14ac:dyDescent="0.25">
      <c r="J4" s="1"/>
      <c r="K4" s="2"/>
      <c r="R4" s="1"/>
      <c r="S4" s="2"/>
    </row>
    <row r="5" spans="2:23" ht="15.75" customHeight="1" x14ac:dyDescent="0.3">
      <c r="B5" s="197" t="s">
        <v>54</v>
      </c>
      <c r="C5" s="192"/>
      <c r="D5" s="75"/>
      <c r="E5" s="308"/>
      <c r="F5" s="309"/>
      <c r="G5" s="308" t="s">
        <v>16</v>
      </c>
      <c r="H5" s="309"/>
      <c r="I5" s="76"/>
      <c r="J5" s="310" t="s">
        <v>0</v>
      </c>
      <c r="K5" s="311"/>
      <c r="L5" s="77"/>
      <c r="M5" s="77"/>
      <c r="N5" s="308" t="s">
        <v>17</v>
      </c>
      <c r="O5" s="321"/>
      <c r="P5" s="309"/>
      <c r="Q5" s="76"/>
      <c r="R5" s="310" t="s">
        <v>0</v>
      </c>
      <c r="S5" s="311"/>
    </row>
    <row r="6" spans="2:23" ht="22.5" customHeight="1" x14ac:dyDescent="0.25">
      <c r="B6" s="46" t="s">
        <v>1</v>
      </c>
      <c r="C6" s="48" t="s">
        <v>55</v>
      </c>
      <c r="D6" s="198" t="s">
        <v>42</v>
      </c>
      <c r="E6" s="199" t="s">
        <v>56</v>
      </c>
      <c r="F6" s="200" t="s">
        <v>57</v>
      </c>
      <c r="G6" s="200" t="s">
        <v>58</v>
      </c>
      <c r="H6" s="199" t="s">
        <v>13</v>
      </c>
      <c r="I6" s="23"/>
      <c r="J6" s="201" t="s">
        <v>0</v>
      </c>
      <c r="K6" s="84" t="s">
        <v>3</v>
      </c>
      <c r="M6" s="199" t="s">
        <v>56</v>
      </c>
      <c r="N6" s="200" t="s">
        <v>57</v>
      </c>
      <c r="O6" s="200" t="s">
        <v>58</v>
      </c>
      <c r="P6" s="7" t="s">
        <v>13</v>
      </c>
      <c r="Q6" s="23"/>
      <c r="R6" s="201" t="s">
        <v>0</v>
      </c>
      <c r="S6" s="84" t="s">
        <v>3</v>
      </c>
      <c r="U6" s="202" t="s">
        <v>59</v>
      </c>
    </row>
    <row r="7" spans="2:23" ht="4.5" customHeight="1" x14ac:dyDescent="0.25">
      <c r="D7" s="23"/>
      <c r="E7" s="54"/>
      <c r="F7" s="54"/>
      <c r="G7" s="54"/>
      <c r="H7" s="23"/>
      <c r="I7" s="23"/>
      <c r="J7" s="55"/>
      <c r="K7" s="25"/>
      <c r="M7" s="54"/>
      <c r="N7" s="54"/>
      <c r="O7" s="54"/>
      <c r="P7" s="23"/>
      <c r="Q7" s="23"/>
      <c r="R7" s="55"/>
      <c r="S7" s="25"/>
    </row>
    <row r="8" spans="2:23" ht="12.75" customHeight="1" outlineLevel="1" x14ac:dyDescent="0.25">
      <c r="B8" s="112"/>
      <c r="C8" s="37"/>
      <c r="D8" s="51"/>
      <c r="E8" s="203"/>
      <c r="F8" s="58"/>
      <c r="G8" s="58"/>
      <c r="H8" s="18"/>
      <c r="I8" s="19"/>
      <c r="J8" s="204"/>
      <c r="K8" s="21" t="str">
        <f>IF(J8="","",J8-H8)</f>
        <v/>
      </c>
      <c r="M8" s="203"/>
      <c r="N8" s="58"/>
      <c r="O8" s="58"/>
      <c r="P8" s="18"/>
      <c r="Q8" s="19"/>
      <c r="R8" s="204"/>
      <c r="S8" s="21" t="str">
        <f>IF(R8="","",R8-P8)</f>
        <v/>
      </c>
      <c r="U8" s="205"/>
    </row>
    <row r="9" spans="2:23" ht="22.2" customHeight="1" outlineLevel="1" x14ac:dyDescent="0.3">
      <c r="B9" s="22">
        <v>45932</v>
      </c>
      <c r="C9" s="206" t="s">
        <v>60</v>
      </c>
      <c r="D9" s="207"/>
      <c r="E9" s="208">
        <f>'Btles Neuve _ DV'!J10</f>
        <v>0</v>
      </c>
      <c r="F9" s="209">
        <f>+'Btles Neuve _ DV'!G22</f>
        <v>2240</v>
      </c>
      <c r="G9" s="209">
        <f>+'Btles Neuve _ DV'!G23</f>
        <v>2100</v>
      </c>
      <c r="H9" s="210">
        <f>+E9+F9-G9</f>
        <v>140</v>
      </c>
      <c r="I9" s="211"/>
      <c r="J9" s="212" cm="1">
        <f t="array" ref="J9">INDEX('Btles Neuve _ DV'!J9:J20, MAX(IF('Btles Neuve _ DV'!J9:J20&lt;&gt;"", ROW('Btles Neuve _ DV'!J9:J20)-ROW('Btles Neuve _ DV'!J9)+1)))</f>
        <v>140</v>
      </c>
      <c r="K9" s="213">
        <f t="shared" ref="K9:K15" si="0">IF(J9="","",J9-H9)</f>
        <v>0</v>
      </c>
      <c r="M9" s="208">
        <f>+'Btles Neuve _ DV'!Q10</f>
        <v>0</v>
      </c>
      <c r="N9" s="209">
        <f>+'Btles Neuve _ DV'!R22</f>
        <v>0</v>
      </c>
      <c r="O9" s="209">
        <f>+'Btles Neuve _ DV'!R23</f>
        <v>0</v>
      </c>
      <c r="P9" s="214">
        <f>+M9+N9-O9</f>
        <v>0</v>
      </c>
      <c r="Q9" s="23"/>
      <c r="R9" s="212" cm="1">
        <f t="array" ref="R9">INDEX('Btles Neuve _ DV'!Q9:Q20, MAX(IF('Btles Neuve _ DV'!Q9:Q20&lt;&gt;"", ROW('Btles Neuve _ DV'!Q9:Q20)-ROW('Btles Neuve _ DV'!Q9)+1)))</f>
        <v>0</v>
      </c>
      <c r="S9" s="215">
        <f t="shared" ref="S9:S15" si="1">IF(R9="","",R9-P9)</f>
        <v>0</v>
      </c>
      <c r="U9" s="205"/>
    </row>
    <row r="10" spans="2:23" ht="22.2" customHeight="1" outlineLevel="1" x14ac:dyDescent="0.3">
      <c r="B10" s="22"/>
      <c r="C10" s="216" t="s">
        <v>61</v>
      </c>
      <c r="D10" s="217"/>
      <c r="E10" s="218">
        <f>'Consigne _ CE'!J10</f>
        <v>1685</v>
      </c>
      <c r="F10" s="219">
        <f>'Consigne _ CE'!G24</f>
        <v>2100</v>
      </c>
      <c r="G10" s="219">
        <f>'Consigne _ CE'!G25</f>
        <v>1400</v>
      </c>
      <c r="H10" s="210">
        <v>2385</v>
      </c>
      <c r="I10" s="211"/>
      <c r="J10" s="212" cm="1">
        <f t="array" ref="J10">INDEX('Consigne _ CE'!J9:J22, MAX(IF('Consigne _ CE'!J9:J22&lt;&gt;"", ROW('Consigne _ CE'!J9:J22)-ROW('Consigne _ CE'!J9)+1)))</f>
        <v>2385</v>
      </c>
      <c r="K10" s="213">
        <f t="shared" si="0"/>
        <v>0</v>
      </c>
      <c r="M10" s="218">
        <f>'Consigne _ CE'!Q10</f>
        <v>35</v>
      </c>
      <c r="N10" s="219">
        <f>'Consigne _ CE'!R24</f>
        <v>0</v>
      </c>
      <c r="O10" s="219">
        <f>'Consigne _ CE'!R25</f>
        <v>0</v>
      </c>
      <c r="P10" s="214">
        <v>35</v>
      </c>
      <c r="Q10" s="23"/>
      <c r="R10" s="212" cm="1">
        <f t="array" ref="R10">INDEX('Consigne _ CE'!Q9:Q22, MAX(IF('Consigne _ CE'!Q9:Q22&lt;&gt;"", ROW('Consigne _ CE'!Q9:Q22)-ROW('Consigne _ CE'!Q9)+1)))</f>
        <v>35</v>
      </c>
      <c r="S10" s="25">
        <f t="shared" si="1"/>
        <v>0</v>
      </c>
      <c r="U10" s="205"/>
    </row>
    <row r="11" spans="2:23" ht="22.2" customHeight="1" outlineLevel="1" x14ac:dyDescent="0.3">
      <c r="B11" s="22"/>
      <c r="C11" s="216" t="s">
        <v>62</v>
      </c>
      <c r="D11" s="217"/>
      <c r="E11" s="218">
        <f>'PARC BOUTEILLES CE (PI &amp; TEMCI)'!J10</f>
        <v>10965</v>
      </c>
      <c r="F11" s="219">
        <f>'PARC BOUTEILLES CE (PI &amp; TEMCI)'!G25</f>
        <v>0</v>
      </c>
      <c r="G11" s="219">
        <f>'PARC BOUTEILLES CE (PI &amp; TEMCI)'!G26</f>
        <v>770</v>
      </c>
      <c r="H11" s="210">
        <f>+E11+F11-G11</f>
        <v>10195</v>
      </c>
      <c r="I11" s="211"/>
      <c r="J11" s="212" cm="1">
        <f t="array" ref="J11">INDEX('PARC BOUTEILLES CE (PI &amp; TEMCI)'!J9:J23, MAX(IF('PARC BOUTEILLES CE (PI &amp; TEMCI)'!J9:J23&lt;&gt;"", ROW('PARC BOUTEILLES CE (PI &amp; TEMCI)'!J9:J23)-ROW('PARC BOUTEILLES CE (PI &amp; TEMCI)'!J9)+1)))</f>
        <v>10195</v>
      </c>
      <c r="K11" s="213">
        <f t="shared" si="0"/>
        <v>0</v>
      </c>
      <c r="M11" s="218">
        <f>'PARC BOUTEILLES CE (PI &amp; TEMCI)'!Q10</f>
        <v>5267</v>
      </c>
      <c r="N11" s="219">
        <f>'PARC BOUTEILLES CE (PI &amp; TEMCI)'!R25</f>
        <v>0</v>
      </c>
      <c r="O11" s="219">
        <f>'PARC BOUTEILLES CE (PI &amp; TEMCI)'!R26</f>
        <v>70</v>
      </c>
      <c r="P11" s="214">
        <v>5197</v>
      </c>
      <c r="Q11" s="23"/>
      <c r="R11" s="212" cm="1">
        <f t="array" ref="R11">INDEX('PARC BOUTEILLES CE (PI &amp; TEMCI)'!Q9:Q23, MAX(IF('PARC BOUTEILLES CE (PI &amp; TEMCI)'!Q9:Q23&lt;&gt;"", ROW('PARC BOUTEILLES CE (PI &amp; TEMCI)'!Q9:Q23)-ROW('PARC BOUTEILLES CE (PI &amp; TEMCI)'!Q9)+1)))</f>
        <v>5197</v>
      </c>
      <c r="S11" s="25">
        <f t="shared" si="1"/>
        <v>0</v>
      </c>
      <c r="U11" s="205"/>
    </row>
    <row r="12" spans="2:23" ht="22.2" customHeight="1" outlineLevel="1" x14ac:dyDescent="0.3">
      <c r="B12" s="22"/>
      <c r="C12" s="216" t="s">
        <v>63</v>
      </c>
      <c r="D12" s="217"/>
      <c r="E12" s="218">
        <f>'Btles HS _ DV'!J10</f>
        <v>16301</v>
      </c>
      <c r="F12" s="219">
        <f>'Btles HS _ DV'!G23</f>
        <v>770</v>
      </c>
      <c r="G12" s="219">
        <f>'Btles HS _ DV'!G24</f>
        <v>0</v>
      </c>
      <c r="H12" s="210">
        <f>+E12+F12-G12</f>
        <v>17071</v>
      </c>
      <c r="I12" s="211"/>
      <c r="J12" s="212" cm="1">
        <f t="array" ref="J12">INDEX('Btles HS _ DV'!J9:J21, MAX(IF('Btles HS _ DV'!J9:J21&lt;&gt;"", ROW('Btles HS _ DV'!J9:J21)-ROW('Btles HS _ DV'!J9)+1)))</f>
        <v>17071</v>
      </c>
      <c r="K12" s="213">
        <f t="shared" si="0"/>
        <v>0</v>
      </c>
      <c r="M12" s="218">
        <f>'Btles HS _ DV'!Q10</f>
        <v>1128</v>
      </c>
      <c r="N12" s="219">
        <f>'Btles HS _ DV'!R23</f>
        <v>70</v>
      </c>
      <c r="O12" s="219">
        <f>'Btles HS _ DV'!R24</f>
        <v>0</v>
      </c>
      <c r="P12" s="214">
        <v>1198</v>
      </c>
      <c r="Q12" s="23"/>
      <c r="R12" s="212" cm="1">
        <f t="array" ref="R12">INDEX('Btles HS _ DV'!Q9:Q21, MAX(IF('Btles HS _ DV'!Q9:Q21&lt;&gt;"", ROW('Btles HS _ DV'!Q9:Q21)-ROW('Btles HS _ DV'!Q9)+1)))</f>
        <v>1198</v>
      </c>
      <c r="S12" s="25">
        <f t="shared" si="1"/>
        <v>0</v>
      </c>
      <c r="U12" s="205"/>
    </row>
    <row r="13" spans="2:23" ht="22.2" hidden="1" customHeight="1" outlineLevel="1" x14ac:dyDescent="0.3">
      <c r="B13" s="22"/>
      <c r="C13" s="220" t="s">
        <v>64</v>
      </c>
      <c r="D13" s="221"/>
      <c r="E13" s="218">
        <f>'PEINTURE TDS '!J10</f>
        <v>0</v>
      </c>
      <c r="F13" s="219">
        <f>'PEINTURE TDS '!G23</f>
        <v>0</v>
      </c>
      <c r="G13" s="219">
        <f>'PEINTURE TDS '!G24</f>
        <v>0</v>
      </c>
      <c r="H13" s="210">
        <f>+E13+F13-G13</f>
        <v>0</v>
      </c>
      <c r="I13" s="211"/>
      <c r="J13" s="212"/>
      <c r="K13" s="213" t="str">
        <f t="shared" si="0"/>
        <v/>
      </c>
      <c r="M13" s="218">
        <f>'PEINTURE TDS '!Q10</f>
        <v>0</v>
      </c>
      <c r="N13" s="219">
        <f>'PEINTURE TDS '!R23</f>
        <v>0</v>
      </c>
      <c r="O13" s="219">
        <f>'PEINTURE TDS '!R24</f>
        <v>0</v>
      </c>
      <c r="P13" s="214">
        <f t="shared" ref="P13" si="2">+M13+N13-O13</f>
        <v>0</v>
      </c>
      <c r="Q13" s="23"/>
      <c r="R13" s="212"/>
      <c r="S13" s="25" t="str">
        <f t="shared" si="1"/>
        <v/>
      </c>
      <c r="U13" s="222"/>
    </row>
    <row r="14" spans="2:23" ht="12.75" customHeight="1" outlineLevel="1" x14ac:dyDescent="0.3">
      <c r="B14" s="22"/>
      <c r="C14" s="223"/>
      <c r="D14" s="224"/>
      <c r="E14" s="225"/>
      <c r="F14" s="226"/>
      <c r="G14" s="226"/>
      <c r="H14" s="210"/>
      <c r="I14" s="211"/>
      <c r="J14" s="212"/>
      <c r="K14" s="213"/>
      <c r="M14" s="225"/>
      <c r="N14" s="249"/>
      <c r="O14" s="249"/>
      <c r="P14" s="214"/>
      <c r="Q14" s="23"/>
      <c r="R14" s="212"/>
      <c r="S14" s="25" t="str">
        <f t="shared" si="1"/>
        <v/>
      </c>
      <c r="U14" s="205"/>
    </row>
    <row r="15" spans="2:23" ht="12.75" customHeight="1" outlineLevel="1" x14ac:dyDescent="0.25">
      <c r="B15" s="26"/>
      <c r="C15" s="39"/>
      <c r="D15" s="53"/>
      <c r="E15" s="227"/>
      <c r="F15" s="60"/>
      <c r="G15" s="60"/>
      <c r="H15" s="60"/>
      <c r="I15" s="30"/>
      <c r="J15" s="228"/>
      <c r="K15" s="32" t="str">
        <f t="shared" si="0"/>
        <v/>
      </c>
      <c r="M15" s="227"/>
      <c r="N15" s="60"/>
      <c r="O15" s="60"/>
      <c r="P15" s="60"/>
      <c r="Q15" s="30"/>
      <c r="R15" s="31"/>
      <c r="S15" s="32" t="str">
        <f t="shared" si="1"/>
        <v/>
      </c>
      <c r="U15" s="229"/>
    </row>
    <row r="16" spans="2:23" ht="7.35" customHeight="1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  <c r="Q16" s="6"/>
      <c r="R16" s="6"/>
      <c r="S16" s="6"/>
      <c r="T16" s="6"/>
    </row>
    <row r="17" spans="1:21" ht="21" customHeight="1" x14ac:dyDescent="0.25">
      <c r="B17" s="6"/>
      <c r="C17" s="6"/>
      <c r="D17" s="6"/>
      <c r="E17" s="6"/>
      <c r="F17" s="6"/>
      <c r="G17" s="241" t="s">
        <v>71</v>
      </c>
      <c r="H17" s="230">
        <f>+SUM(H8:H15)</f>
        <v>29791</v>
      </c>
      <c r="I17" s="6"/>
      <c r="J17" s="230"/>
      <c r="K17" s="230">
        <f>+SUM(K8:K15)</f>
        <v>0</v>
      </c>
      <c r="P17" s="230">
        <f t="shared" ref="P17:S17" si="3">+SUM(P8:P15)</f>
        <v>6430</v>
      </c>
      <c r="Q17" s="6">
        <f t="shared" si="3"/>
        <v>0</v>
      </c>
      <c r="R17" s="230"/>
      <c r="S17" s="230">
        <f t="shared" si="3"/>
        <v>0</v>
      </c>
      <c r="T17" s="6"/>
    </row>
    <row r="18" spans="1:21" ht="20.100000000000001" customHeight="1" thickBot="1" x14ac:dyDescent="0.3">
      <c r="A18" s="35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 ht="20.100000000000001" customHeight="1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  <c r="Q19" s="6"/>
      <c r="R19" s="6"/>
      <c r="S19" s="6"/>
      <c r="T19" s="6"/>
    </row>
    <row r="20" spans="1:21" ht="15.6" customHeight="1" x14ac:dyDescent="0.3">
      <c r="B20" s="240" t="s">
        <v>65</v>
      </c>
      <c r="C20" s="78"/>
      <c r="D20" s="78"/>
      <c r="E20" s="78"/>
      <c r="F20" s="78"/>
      <c r="G20" s="312" t="s">
        <v>16</v>
      </c>
      <c r="H20" s="313"/>
      <c r="I20" s="80"/>
      <c r="J20" s="314" t="s">
        <v>0</v>
      </c>
      <c r="K20" s="316"/>
      <c r="L20" s="79"/>
      <c r="M20" s="78"/>
      <c r="N20" s="317" t="s">
        <v>17</v>
      </c>
      <c r="O20" s="322"/>
      <c r="P20" s="318"/>
      <c r="Q20" s="80"/>
      <c r="R20" s="314" t="s">
        <v>0</v>
      </c>
      <c r="S20" s="316"/>
      <c r="T20" s="6"/>
    </row>
    <row r="21" spans="1:21" ht="22.5" customHeight="1" x14ac:dyDescent="0.25">
      <c r="B21" s="46" t="s">
        <v>1</v>
      </c>
      <c r="C21" s="48" t="s">
        <v>55</v>
      </c>
      <c r="D21" s="198" t="s">
        <v>42</v>
      </c>
      <c r="E21" s="199" t="s">
        <v>56</v>
      </c>
      <c r="F21" s="200" t="s">
        <v>57</v>
      </c>
      <c r="G21" s="200" t="s">
        <v>58</v>
      </c>
      <c r="H21" s="199" t="s">
        <v>13</v>
      </c>
      <c r="I21" s="23"/>
      <c r="J21" s="201" t="s">
        <v>0</v>
      </c>
      <c r="K21" s="84" t="s">
        <v>3</v>
      </c>
      <c r="M21" s="199" t="s">
        <v>56</v>
      </c>
      <c r="N21" s="200" t="s">
        <v>57</v>
      </c>
      <c r="O21" s="200" t="s">
        <v>58</v>
      </c>
      <c r="P21" s="7" t="s">
        <v>13</v>
      </c>
      <c r="Q21" s="23"/>
      <c r="R21" s="201" t="s">
        <v>0</v>
      </c>
      <c r="S21" s="84" t="s">
        <v>3</v>
      </c>
      <c r="U21" s="202" t="s">
        <v>59</v>
      </c>
    </row>
    <row r="22" spans="1:21" ht="4.3499999999999996" customHeight="1" x14ac:dyDescent="0.25">
      <c r="J22" s="1"/>
      <c r="K22" s="1"/>
      <c r="R22" s="1"/>
      <c r="S22" s="1"/>
    </row>
    <row r="23" spans="1:21" ht="12.75" customHeight="1" outlineLevel="1" x14ac:dyDescent="0.25">
      <c r="B23" s="112"/>
      <c r="C23" s="37"/>
      <c r="D23" s="51"/>
      <c r="E23" s="203"/>
      <c r="F23" s="58"/>
      <c r="G23" s="58"/>
      <c r="H23" s="18"/>
      <c r="I23" s="19"/>
      <c r="J23" s="231"/>
      <c r="K23" s="21" t="str">
        <f>IF(J23="","",J23-H23)</f>
        <v/>
      </c>
      <c r="M23" s="203"/>
      <c r="N23" s="58"/>
      <c r="O23" s="58"/>
      <c r="P23" s="18"/>
      <c r="Q23" s="19"/>
      <c r="R23" s="20"/>
      <c r="S23" s="21" t="str">
        <f>IF(R23="","",R23-P23)</f>
        <v/>
      </c>
      <c r="U23" s="205"/>
    </row>
    <row r="24" spans="1:21" ht="22.2" customHeight="1" outlineLevel="1" x14ac:dyDescent="0.3">
      <c r="B24" s="177">
        <v>45932</v>
      </c>
      <c r="C24" s="206" t="s">
        <v>60</v>
      </c>
      <c r="D24" s="207"/>
      <c r="E24" s="208">
        <f>+'Btles Neuve _ DV'!J32</f>
        <v>24687</v>
      </c>
      <c r="F24" s="209">
        <f>+'Btles Neuve _ DV'!G42</f>
        <v>0</v>
      </c>
      <c r="G24" s="209">
        <f>+'Btles Neuve _ DV'!G43</f>
        <v>0</v>
      </c>
      <c r="H24" s="214">
        <f>+E24+F24-G24</f>
        <v>24687</v>
      </c>
      <c r="I24" s="233"/>
      <c r="J24" s="212" cm="1">
        <f t="array" ref="J24">INDEX('Btles Neuve _ DV'!J31:J40, MAX(IF('Btles Neuve _ DV'!J31:J40&lt;&gt;"", ROW('Btles Neuve _ DV'!J31:J40)-ROW('Btles Neuve _ DV'!J31)+1)))</f>
        <v>24687</v>
      </c>
      <c r="K24" s="213">
        <f t="shared" ref="K24:K29" si="4">IF(J24="","",J24-H24)</f>
        <v>0</v>
      </c>
      <c r="M24" s="208">
        <f>+'Btles Neuve _ DV'!Q32</f>
        <v>2161</v>
      </c>
      <c r="N24" s="209">
        <f>+'Btles Neuve _ DV'!R42</f>
        <v>0</v>
      </c>
      <c r="O24" s="209">
        <f>+'Btles Neuve _ DV'!R43</f>
        <v>0</v>
      </c>
      <c r="P24" s="214">
        <f t="shared" ref="P24:P28" si="5">+M24+N24-O24</f>
        <v>2161</v>
      </c>
      <c r="Q24" s="23"/>
      <c r="R24" s="212" cm="1">
        <f t="array" ref="R24">INDEX('Btles Neuve _ DV'!Q31:Q40, MAX(IF('Btles Neuve _ DV'!Q31:Q40&lt;&gt;"", ROW('Btles Neuve _ DV'!Q31:Q40)-ROW('Btles Neuve _ DV'!Q31)+1)))</f>
        <v>2161</v>
      </c>
      <c r="S24" s="25">
        <f t="shared" ref="S24:S29" si="6">IF(R24="","",R24-P24)</f>
        <v>0</v>
      </c>
      <c r="U24" s="205"/>
    </row>
    <row r="25" spans="1:21" ht="22.2" customHeight="1" outlineLevel="1" x14ac:dyDescent="0.3">
      <c r="B25" s="22"/>
      <c r="C25" s="216" t="s">
        <v>61</v>
      </c>
      <c r="D25" s="217"/>
      <c r="E25" s="218">
        <f>'Consigne _ CE'!J34</f>
        <v>1260</v>
      </c>
      <c r="F25" s="219">
        <f>'Consigne _ CE'!G46</f>
        <v>0</v>
      </c>
      <c r="G25" s="219">
        <f>'Consigne _ CE'!G47</f>
        <v>105</v>
      </c>
      <c r="H25" s="214">
        <v>1504</v>
      </c>
      <c r="I25" s="233"/>
      <c r="J25" s="212">
        <v>1504</v>
      </c>
      <c r="K25" s="213">
        <f t="shared" si="4"/>
        <v>0</v>
      </c>
      <c r="M25" s="218">
        <f>'Consigne _ CE'!Q34</f>
        <v>315</v>
      </c>
      <c r="N25" s="219">
        <f>'Consigne _ CE'!R46</f>
        <v>0</v>
      </c>
      <c r="O25" s="219">
        <f>'Consigne _ CE'!R47</f>
        <v>0</v>
      </c>
      <c r="P25" s="214">
        <v>175</v>
      </c>
      <c r="Q25" s="23"/>
      <c r="R25" s="212">
        <v>175</v>
      </c>
      <c r="S25" s="25">
        <f t="shared" si="6"/>
        <v>0</v>
      </c>
      <c r="U25" s="205"/>
    </row>
    <row r="26" spans="1:21" ht="22.2" customHeight="1" outlineLevel="1" x14ac:dyDescent="0.3">
      <c r="B26" s="22"/>
      <c r="C26" s="216" t="s">
        <v>62</v>
      </c>
      <c r="D26" s="217"/>
      <c r="E26" s="218">
        <f>'PARC BOUTEILLES CE (PI &amp; TEMCI)'!J35</f>
        <v>9759</v>
      </c>
      <c r="F26" s="219">
        <f>'PARC BOUTEILLES CE (PI &amp; TEMCI)'!G52</f>
        <v>0</v>
      </c>
      <c r="G26" s="219">
        <f>'PARC BOUTEILLES CE (PI &amp; TEMCI)'!G53</f>
        <v>266</v>
      </c>
      <c r="H26" s="214">
        <f t="shared" ref="H26:H28" si="7">+E26+F26-G26</f>
        <v>9493</v>
      </c>
      <c r="I26" s="233"/>
      <c r="J26" s="212" cm="1">
        <f t="array" ref="J26">INDEX('PARC BOUTEILLES CE (PI &amp; TEMCI)'!J34:J50, MAX(IF('PARC BOUTEILLES CE (PI &amp; TEMCI)'!J34:J50&lt;&gt;"", ROW('PARC BOUTEILLES CE (PI &amp; TEMCI)'!J34:J50)-ROW('PARC BOUTEILLES CE (PI &amp; TEMCI)'!J34)+1)))</f>
        <v>9493</v>
      </c>
      <c r="K26" s="213">
        <f t="shared" si="4"/>
        <v>0</v>
      </c>
      <c r="M26" s="218">
        <f>'PARC BOUTEILLES CE (PI &amp; TEMCI)'!Q35</f>
        <v>2111</v>
      </c>
      <c r="N26" s="219">
        <f>'PARC BOUTEILLES CE (PI &amp; TEMCI)'!R52</f>
        <v>0</v>
      </c>
      <c r="O26" s="219">
        <f>'PARC BOUTEILLES CE (PI &amp; TEMCI)'!R53</f>
        <v>252</v>
      </c>
      <c r="P26" s="214">
        <f t="shared" si="5"/>
        <v>1859</v>
      </c>
      <c r="Q26" s="23"/>
      <c r="R26" s="212" cm="1">
        <f t="array" ref="R26">INDEX('PARC BOUTEILLES CE (PI &amp; TEMCI)'!Q34:Q50, MAX(IF('PARC BOUTEILLES CE (PI &amp; TEMCI)'!Q34:Q50&lt;&gt;"", ROW('PARC BOUTEILLES CE (PI &amp; TEMCI)'!Q34:Q50)-ROW('PARC BOUTEILLES CE (PI &amp; TEMCI)'!Q34)+1)))</f>
        <v>1859</v>
      </c>
      <c r="S26" s="25">
        <f t="shared" si="6"/>
        <v>0</v>
      </c>
      <c r="U26" s="205"/>
    </row>
    <row r="27" spans="1:21" ht="22.2" customHeight="1" outlineLevel="1" x14ac:dyDescent="0.3">
      <c r="B27" s="22"/>
      <c r="C27" s="216" t="s">
        <v>63</v>
      </c>
      <c r="D27" s="217"/>
      <c r="E27" s="218">
        <f>'Btles HS _ DV'!J33</f>
        <v>1708</v>
      </c>
      <c r="F27" s="219">
        <f>'Btles HS _ DV'!G44</f>
        <v>266</v>
      </c>
      <c r="G27" s="219">
        <f>'Btles HS _ DV'!G45</f>
        <v>0</v>
      </c>
      <c r="H27" s="214">
        <f t="shared" si="7"/>
        <v>1974</v>
      </c>
      <c r="I27" s="233"/>
      <c r="J27" s="212" cm="1">
        <f t="array" ref="J27">INDEX('Btles HS _ DV'!J32:J42, MAX(IF('Btles HS _ DV'!J32:J42&lt;&gt;"", ROW('Btles HS _ DV'!J32:J42)-ROW('Btles HS _ DV'!J32)+1)))</f>
        <v>1974</v>
      </c>
      <c r="K27" s="213">
        <f t="shared" si="4"/>
        <v>0</v>
      </c>
      <c r="M27" s="218">
        <f>'Btles HS _ DV'!Q33</f>
        <v>925</v>
      </c>
      <c r="N27" s="219">
        <f>'Btles HS _ DV'!R44</f>
        <v>252</v>
      </c>
      <c r="O27" s="219">
        <f>'Btles HS _ DV'!R45</f>
        <v>0</v>
      </c>
      <c r="P27" s="214">
        <f t="shared" si="5"/>
        <v>1177</v>
      </c>
      <c r="Q27" s="23"/>
      <c r="R27" s="212" cm="1">
        <f t="array" ref="R27">INDEX('Btles HS _ DV'!Q32:Q42, MAX(IF('Btles HS _ DV'!Q32:Q42&lt;&gt;"", ROW('Btles HS _ DV'!Q32:Q42)-ROW('Btles HS _ DV'!Q32)+1)))</f>
        <v>1177</v>
      </c>
      <c r="S27" s="25">
        <f t="shared" si="6"/>
        <v>0</v>
      </c>
      <c r="U27" s="205"/>
    </row>
    <row r="28" spans="1:21" ht="22.2" hidden="1" customHeight="1" outlineLevel="1" x14ac:dyDescent="0.3">
      <c r="B28" s="22"/>
      <c r="C28" s="220" t="s">
        <v>64</v>
      </c>
      <c r="D28" s="221"/>
      <c r="E28" s="218">
        <f>'PEINTURE TDS '!J33</f>
        <v>0</v>
      </c>
      <c r="F28" s="219">
        <f>'PEINTURE TDS '!G47</f>
        <v>0</v>
      </c>
      <c r="G28" s="219">
        <f>'PEINTURE TDS '!G48</f>
        <v>0</v>
      </c>
      <c r="H28" s="214">
        <f t="shared" si="7"/>
        <v>0</v>
      </c>
      <c r="I28" s="233"/>
      <c r="J28" s="234"/>
      <c r="K28" s="213" t="str">
        <f t="shared" si="4"/>
        <v/>
      </c>
      <c r="M28" s="218">
        <f>'PEINTURE TDS '!Q33</f>
        <v>0</v>
      </c>
      <c r="N28" s="219">
        <f>'PEINTURE TDS '!R47</f>
        <v>0</v>
      </c>
      <c r="O28" s="219">
        <f>'PEINTURE TDS '!R48</f>
        <v>0</v>
      </c>
      <c r="P28" s="214">
        <f t="shared" si="5"/>
        <v>0</v>
      </c>
      <c r="Q28" s="23"/>
      <c r="R28" s="24"/>
      <c r="S28" s="25" t="str">
        <f t="shared" si="6"/>
        <v/>
      </c>
      <c r="U28" s="222"/>
    </row>
    <row r="29" spans="1:21" ht="12.75" customHeight="1" outlineLevel="1" x14ac:dyDescent="0.3">
      <c r="B29" s="22"/>
      <c r="C29" s="223"/>
      <c r="D29" s="224"/>
      <c r="E29" s="225"/>
      <c r="F29" s="249"/>
      <c r="G29" s="249"/>
      <c r="H29" s="214"/>
      <c r="I29" s="233"/>
      <c r="J29" s="234"/>
      <c r="K29" s="213" t="str">
        <f t="shared" si="4"/>
        <v/>
      </c>
      <c r="M29" s="225"/>
      <c r="N29" s="249"/>
      <c r="O29" s="249"/>
      <c r="P29" s="13"/>
      <c r="Q29" s="23"/>
      <c r="R29" s="24"/>
      <c r="S29" s="25" t="str">
        <f t="shared" si="6"/>
        <v/>
      </c>
      <c r="U29" s="205"/>
    </row>
    <row r="30" spans="1:21" ht="12.75" customHeight="1" outlineLevel="1" x14ac:dyDescent="0.25">
      <c r="B30" s="26"/>
      <c r="C30" s="39"/>
      <c r="D30" s="53"/>
      <c r="E30" s="227"/>
      <c r="F30" s="60"/>
      <c r="G30" s="60"/>
      <c r="H30" s="60"/>
      <c r="I30" s="60"/>
      <c r="J30" s="228"/>
      <c r="K30" s="32" t="str">
        <f t="shared" ref="K30" si="8">IF(J30="","",J30-H30)</f>
        <v/>
      </c>
      <c r="M30" s="227"/>
      <c r="N30" s="60"/>
      <c r="O30" s="60"/>
      <c r="P30" s="60"/>
      <c r="Q30" s="30"/>
      <c r="R30" s="31"/>
      <c r="S30" s="32" t="str">
        <f>IF(R30="","",R30-P30)</f>
        <v/>
      </c>
      <c r="U30" s="229"/>
    </row>
    <row r="31" spans="1:21" ht="6.6" customHeight="1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M31" s="6"/>
      <c r="N31" s="6"/>
      <c r="O31" s="6"/>
      <c r="P31" s="6"/>
      <c r="Q31" s="6"/>
      <c r="R31" s="6"/>
      <c r="S31" s="6"/>
    </row>
    <row r="32" spans="1:21" ht="21" customHeight="1" x14ac:dyDescent="0.25">
      <c r="B32" s="6"/>
      <c r="C32" s="6"/>
      <c r="D32" s="6"/>
      <c r="E32" s="6"/>
      <c r="F32" s="6"/>
      <c r="G32" s="241" t="s">
        <v>71</v>
      </c>
      <c r="H32" s="230">
        <f>+SUM(H23:H30)</f>
        <v>37658</v>
      </c>
      <c r="I32" s="6"/>
      <c r="J32" s="230"/>
      <c r="K32" s="230">
        <f>+SUM(K23:K30)</f>
        <v>0</v>
      </c>
      <c r="P32" s="230">
        <f t="shared" ref="P32:S32" si="9">+SUM(P23:P30)</f>
        <v>5372</v>
      </c>
      <c r="Q32" s="6">
        <f t="shared" si="9"/>
        <v>0</v>
      </c>
      <c r="R32" s="230"/>
      <c r="S32" s="230">
        <f t="shared" si="9"/>
        <v>0</v>
      </c>
      <c r="T32" s="6"/>
    </row>
    <row r="33" spans="1:21" ht="20.100000000000001" customHeight="1" thickBot="1" x14ac:dyDescent="0.3">
      <c r="A33" s="35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</row>
    <row r="34" spans="1:21" ht="20.100000000000001" customHeight="1" x14ac:dyDescent="0.25">
      <c r="J34" s="1"/>
      <c r="K34" s="1"/>
      <c r="R34" s="1"/>
      <c r="S34" s="1"/>
    </row>
    <row r="35" spans="1:21" ht="12.75" customHeight="1" x14ac:dyDescent="0.3">
      <c r="B35" s="242" t="s">
        <v>66</v>
      </c>
      <c r="C35" s="237"/>
      <c r="D35" s="237"/>
      <c r="E35" s="237"/>
      <c r="F35" s="237"/>
      <c r="G35" s="302" t="s">
        <v>16</v>
      </c>
      <c r="H35" s="303"/>
      <c r="I35" s="238"/>
      <c r="J35" s="304" t="s">
        <v>0</v>
      </c>
      <c r="K35" s="319"/>
      <c r="L35" s="239"/>
      <c r="M35" s="237"/>
      <c r="N35" s="302" t="s">
        <v>17</v>
      </c>
      <c r="O35" s="320"/>
      <c r="P35" s="303"/>
      <c r="Q35" s="238"/>
      <c r="R35" s="304" t="s">
        <v>0</v>
      </c>
      <c r="S35" s="319"/>
    </row>
    <row r="36" spans="1:21" ht="24.75" customHeight="1" x14ac:dyDescent="0.25">
      <c r="B36" s="46" t="s">
        <v>1</v>
      </c>
      <c r="C36" s="48" t="s">
        <v>55</v>
      </c>
      <c r="D36" s="198" t="s">
        <v>42</v>
      </c>
      <c r="E36" s="199" t="s">
        <v>56</v>
      </c>
      <c r="F36" s="200" t="s">
        <v>57</v>
      </c>
      <c r="G36" s="200" t="s">
        <v>58</v>
      </c>
      <c r="H36" s="199" t="s">
        <v>13</v>
      </c>
      <c r="I36" s="23"/>
      <c r="J36" s="201" t="s">
        <v>0</v>
      </c>
      <c r="K36" s="84" t="s">
        <v>3</v>
      </c>
      <c r="M36" s="199" t="s">
        <v>56</v>
      </c>
      <c r="N36" s="200" t="s">
        <v>57</v>
      </c>
      <c r="O36" s="200" t="s">
        <v>58</v>
      </c>
      <c r="P36" s="7" t="s">
        <v>13</v>
      </c>
      <c r="Q36" s="23"/>
      <c r="R36" s="201" t="s">
        <v>0</v>
      </c>
      <c r="S36" s="84" t="s">
        <v>3</v>
      </c>
      <c r="U36" s="202" t="s">
        <v>59</v>
      </c>
    </row>
    <row r="37" spans="1:21" ht="3.75" customHeight="1" x14ac:dyDescent="0.25">
      <c r="J37" s="1"/>
      <c r="K37" s="1"/>
      <c r="R37" s="1"/>
      <c r="S37" s="1"/>
    </row>
    <row r="38" spans="1:21" ht="12.75" customHeight="1" x14ac:dyDescent="0.25">
      <c r="B38" s="112"/>
      <c r="C38" s="37"/>
      <c r="D38" s="51"/>
      <c r="E38" s="203"/>
      <c r="F38" s="58"/>
      <c r="G38" s="58"/>
      <c r="H38" s="18"/>
      <c r="I38" s="19"/>
      <c r="J38" s="231"/>
      <c r="K38" s="21" t="str">
        <f>IF(J38="","",J38-H38)</f>
        <v/>
      </c>
      <c r="M38" s="203"/>
      <c r="N38" s="58"/>
      <c r="O38" s="58"/>
      <c r="P38" s="18"/>
      <c r="Q38" s="19"/>
      <c r="R38" s="20"/>
      <c r="S38" s="21" t="str">
        <f>IF(R38="","",R38-P38)</f>
        <v/>
      </c>
      <c r="U38" s="205"/>
    </row>
    <row r="39" spans="1:21" ht="22.2" customHeight="1" x14ac:dyDescent="0.3">
      <c r="B39" s="177">
        <v>45932</v>
      </c>
      <c r="C39" s="206" t="s">
        <v>60</v>
      </c>
      <c r="D39" s="207"/>
      <c r="E39" s="208">
        <f>+'Btles Neuve _ DV'!J51</f>
        <v>0</v>
      </c>
      <c r="F39" s="209">
        <f>'Btles Neuve _ DV'!G62</f>
        <v>0</v>
      </c>
      <c r="G39" s="209">
        <f>'Btles Neuve _ DV'!G63</f>
        <v>0</v>
      </c>
      <c r="H39" s="214">
        <f t="shared" ref="H39:H44" si="10">+E39+F39-G39</f>
        <v>0</v>
      </c>
      <c r="I39" s="233"/>
      <c r="J39" s="212" cm="1">
        <f t="array" ref="J39">INDEX('Btles Neuve _ DV'!J50:J60, MAX(IF('Btles Neuve _ DV'!J50:J60&lt;&gt;"", ROW('Btles Neuve _ DV'!J50:J60)-ROW('Btles Neuve _ DV'!J50)+1)))</f>
        <v>0</v>
      </c>
      <c r="K39" s="213">
        <f t="shared" ref="K39:K44" si="11">IF(J39="","",J39-H39)</f>
        <v>0</v>
      </c>
      <c r="M39" s="208"/>
      <c r="N39" s="209"/>
      <c r="O39" s="209"/>
      <c r="P39" s="214">
        <f t="shared" ref="P39:P44" si="12">+M39+N39-O39</f>
        <v>0</v>
      </c>
      <c r="Q39" s="23"/>
      <c r="R39" s="212"/>
      <c r="S39" s="25" t="str">
        <f t="shared" ref="S39:S44" si="13">IF(R39="","",R39-P39)</f>
        <v/>
      </c>
      <c r="U39" s="205"/>
    </row>
    <row r="40" spans="1:21" ht="22.2" hidden="1" customHeight="1" x14ac:dyDescent="0.3">
      <c r="B40" s="22"/>
      <c r="C40" s="216" t="s">
        <v>61</v>
      </c>
      <c r="D40" s="217"/>
      <c r="E40" s="218"/>
      <c r="F40" s="235"/>
      <c r="G40" s="235"/>
      <c r="H40" s="214">
        <f t="shared" si="10"/>
        <v>0</v>
      </c>
      <c r="I40" s="233"/>
      <c r="J40" s="234"/>
      <c r="K40" s="213" t="str">
        <f t="shared" si="11"/>
        <v/>
      </c>
      <c r="M40" s="218"/>
      <c r="N40" s="219"/>
      <c r="O40" s="219"/>
      <c r="P40" s="214">
        <f t="shared" si="12"/>
        <v>0</v>
      </c>
      <c r="Q40" s="23"/>
      <c r="R40" s="24"/>
      <c r="S40" s="25" t="str">
        <f t="shared" si="13"/>
        <v/>
      </c>
      <c r="U40" s="205"/>
    </row>
    <row r="41" spans="1:21" ht="22.2" customHeight="1" x14ac:dyDescent="0.3">
      <c r="B41" s="22"/>
      <c r="C41" s="216" t="s">
        <v>62</v>
      </c>
      <c r="D41" s="217"/>
      <c r="E41" s="218">
        <f>'STOCK OUTILS VIVO'!J10</f>
        <v>1103</v>
      </c>
      <c r="F41" s="235">
        <f>'STOCK OUTILS VIVO'!G20</f>
        <v>0</v>
      </c>
      <c r="G41" s="235">
        <f>'STOCK OUTILS VIVO'!G21</f>
        <v>0</v>
      </c>
      <c r="H41" s="214">
        <f t="shared" si="10"/>
        <v>1103</v>
      </c>
      <c r="I41" s="233"/>
      <c r="J41" s="234" cm="1">
        <f t="array" ref="J41">INDEX('STOCK OUTILS VIVO'!J9:J18, MAX(IF('STOCK OUTILS VIVO'!J9:J18&lt;&gt;"", ROW('STOCK OUTILS VIVO'!J9:J18)-ROW('STOCK OUTILS VIVO'!J9)+1)))</f>
        <v>1103</v>
      </c>
      <c r="K41" s="213">
        <f t="shared" ref="K41" si="14">IF(J41="","",J41-H41)</f>
        <v>0</v>
      </c>
      <c r="M41" s="218">
        <f>'STOCK OUTILS VIVO'!Q10</f>
        <v>34</v>
      </c>
      <c r="N41" s="219">
        <f>'STOCK OUTILS VIVO'!R20</f>
        <v>0</v>
      </c>
      <c r="O41" s="219">
        <f>'STOCK OUTILS VIVO'!R21</f>
        <v>0</v>
      </c>
      <c r="P41" s="214">
        <v>34</v>
      </c>
      <c r="Q41" s="23"/>
      <c r="R41" s="234" cm="1">
        <f t="array" ref="R41">INDEX('STOCK OUTILS VIVO'!Q9:Q18, MAX(IF('STOCK OUTILS VIVO'!Q9:Q18&lt;&gt;"", ROW('STOCK OUTILS VIVO'!Q9:Q18)-ROW('STOCK OUTILS VIVO'!Q9)+1)))</f>
        <v>34</v>
      </c>
      <c r="S41" s="25">
        <f t="shared" si="13"/>
        <v>0</v>
      </c>
      <c r="U41" s="205" t="s">
        <v>67</v>
      </c>
    </row>
    <row r="42" spans="1:21" ht="22.2" hidden="1" customHeight="1" x14ac:dyDescent="0.3">
      <c r="B42" s="22"/>
      <c r="C42" s="216" t="s">
        <v>63</v>
      </c>
      <c r="D42" s="217"/>
      <c r="E42" s="218"/>
      <c r="F42" s="235"/>
      <c r="G42" s="235"/>
      <c r="H42" s="214">
        <f t="shared" si="10"/>
        <v>0</v>
      </c>
      <c r="I42" s="233"/>
      <c r="J42" s="234"/>
      <c r="K42" s="213" t="str">
        <f t="shared" si="11"/>
        <v/>
      </c>
      <c r="M42" s="218"/>
      <c r="N42" s="219"/>
      <c r="O42" s="219"/>
      <c r="P42" s="214">
        <f t="shared" si="12"/>
        <v>0</v>
      </c>
      <c r="Q42" s="23"/>
      <c r="R42" s="24"/>
      <c r="S42" s="25" t="str">
        <f t="shared" si="13"/>
        <v/>
      </c>
      <c r="U42" s="205" t="s">
        <v>68</v>
      </c>
    </row>
    <row r="43" spans="1:21" ht="22.2" hidden="1" customHeight="1" x14ac:dyDescent="0.3">
      <c r="B43" s="22"/>
      <c r="C43" s="220" t="s">
        <v>64</v>
      </c>
      <c r="D43" s="221"/>
      <c r="E43" s="218"/>
      <c r="F43" s="235"/>
      <c r="G43" s="235"/>
      <c r="H43" s="214">
        <f t="shared" si="10"/>
        <v>0</v>
      </c>
      <c r="I43" s="233"/>
      <c r="J43" s="234"/>
      <c r="K43" s="213" t="str">
        <f t="shared" si="11"/>
        <v/>
      </c>
      <c r="M43" s="218"/>
      <c r="N43" s="219"/>
      <c r="O43" s="219"/>
      <c r="P43" s="214">
        <f t="shared" si="12"/>
        <v>0</v>
      </c>
      <c r="Q43" s="23"/>
      <c r="R43" s="24"/>
      <c r="S43" s="25" t="str">
        <f t="shared" si="13"/>
        <v/>
      </c>
      <c r="U43" s="222" t="s">
        <v>69</v>
      </c>
    </row>
    <row r="44" spans="1:21" ht="22.2" customHeight="1" x14ac:dyDescent="0.3">
      <c r="B44" s="22"/>
      <c r="C44" s="223"/>
      <c r="D44" s="224"/>
      <c r="E44" s="225"/>
      <c r="F44" s="236"/>
      <c r="G44" s="236"/>
      <c r="H44" s="214">
        <f t="shared" si="10"/>
        <v>0</v>
      </c>
      <c r="I44" s="233"/>
      <c r="J44" s="234"/>
      <c r="K44" s="213" t="str">
        <f t="shared" si="11"/>
        <v/>
      </c>
      <c r="M44" s="225"/>
      <c r="N44" s="249"/>
      <c r="O44" s="249"/>
      <c r="P44" s="13">
        <f t="shared" si="12"/>
        <v>0</v>
      </c>
      <c r="Q44" s="23"/>
      <c r="R44" s="24"/>
      <c r="S44" s="25" t="str">
        <f t="shared" si="13"/>
        <v/>
      </c>
      <c r="U44" s="205"/>
    </row>
    <row r="45" spans="1:21" ht="12.75" customHeight="1" x14ac:dyDescent="0.25">
      <c r="B45" s="26"/>
      <c r="C45" s="39"/>
      <c r="D45" s="53"/>
      <c r="E45" s="227"/>
      <c r="F45" s="60"/>
      <c r="G45" s="60"/>
      <c r="H45" s="60"/>
      <c r="I45" s="30"/>
      <c r="J45" s="228"/>
      <c r="K45" s="32" t="str">
        <f t="shared" ref="K45" si="15">IF(J45="","",J45-H45)</f>
        <v/>
      </c>
      <c r="M45" s="227"/>
      <c r="N45" s="60"/>
      <c r="O45" s="60"/>
      <c r="P45" s="60"/>
      <c r="Q45" s="30"/>
      <c r="R45" s="31"/>
      <c r="S45" s="32" t="str">
        <f>IF(R45="","",R45-P45)</f>
        <v/>
      </c>
      <c r="U45" s="229"/>
    </row>
    <row r="46" spans="1:21" ht="12.75" customHeight="1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M46" s="6"/>
      <c r="N46" s="6"/>
      <c r="O46" s="6"/>
      <c r="P46" s="6"/>
      <c r="Q46" s="6"/>
      <c r="R46" s="6"/>
      <c r="S46" s="6"/>
    </row>
    <row r="47" spans="1:21" ht="21" customHeight="1" x14ac:dyDescent="0.25">
      <c r="B47" s="6"/>
      <c r="C47" s="6"/>
      <c r="D47" s="6"/>
      <c r="E47" s="6"/>
      <c r="F47" s="6"/>
      <c r="G47" s="241" t="s">
        <v>71</v>
      </c>
      <c r="H47" s="230">
        <f>+SUM(H38:H45)</f>
        <v>1103</v>
      </c>
      <c r="I47" s="6"/>
      <c r="J47" s="230"/>
      <c r="K47" s="230">
        <f>+SUM(K38:K45)</f>
        <v>0</v>
      </c>
      <c r="P47" s="230">
        <f t="shared" ref="P47:S47" si="16">+SUM(P38:P45)</f>
        <v>34</v>
      </c>
      <c r="Q47" s="6">
        <f t="shared" si="16"/>
        <v>0</v>
      </c>
      <c r="R47" s="230"/>
      <c r="S47" s="230">
        <f t="shared" si="16"/>
        <v>0</v>
      </c>
      <c r="T47" s="6"/>
    </row>
    <row r="48" spans="1:21" ht="12.75" customHeight="1" x14ac:dyDescent="0.25">
      <c r="B48" s="85"/>
      <c r="J48" s="1"/>
      <c r="K48" s="1"/>
      <c r="R48" s="1"/>
      <c r="S48" s="1"/>
    </row>
    <row r="49" spans="10:19" ht="12.75" customHeight="1" x14ac:dyDescent="0.25">
      <c r="J49" s="1"/>
      <c r="K49" s="1"/>
      <c r="R49" s="1"/>
      <c r="S49" s="1"/>
    </row>
    <row r="50" spans="10:19" ht="12.75" customHeight="1" x14ac:dyDescent="0.25">
      <c r="J50" s="1"/>
      <c r="K50" s="1"/>
      <c r="R50" s="1"/>
      <c r="S50" s="1"/>
    </row>
    <row r="51" spans="10:19" ht="12.75" customHeight="1" x14ac:dyDescent="0.25">
      <c r="J51" s="1"/>
      <c r="K51" s="1"/>
      <c r="R51" s="1"/>
      <c r="S51" s="1"/>
    </row>
    <row r="52" spans="10:19" ht="12.75" customHeight="1" x14ac:dyDescent="0.25">
      <c r="J52" s="1"/>
      <c r="K52" s="1"/>
      <c r="R52" s="1"/>
      <c r="S52" s="1"/>
    </row>
    <row r="53" spans="10:19" ht="12.75" customHeight="1" x14ac:dyDescent="0.25">
      <c r="J53" s="1"/>
      <c r="K53" s="1"/>
      <c r="R53" s="1"/>
      <c r="S53" s="1"/>
    </row>
    <row r="54" spans="10:19" ht="12.75" customHeight="1" x14ac:dyDescent="0.25">
      <c r="J54" s="1"/>
      <c r="K54" s="1"/>
      <c r="R54" s="1"/>
      <c r="S54" s="1"/>
    </row>
    <row r="55" spans="10:19" ht="12.75" customHeight="1" x14ac:dyDescent="0.25">
      <c r="J55" s="1"/>
      <c r="K55" s="1"/>
      <c r="R55" s="1"/>
      <c r="S55" s="1"/>
    </row>
    <row r="56" spans="10:19" ht="12.75" customHeight="1" x14ac:dyDescent="0.25">
      <c r="J56" s="1"/>
      <c r="K56" s="1"/>
      <c r="R56" s="1"/>
      <c r="S56" s="1"/>
    </row>
    <row r="57" spans="10:19" ht="12.75" customHeight="1" x14ac:dyDescent="0.25">
      <c r="J57" s="1"/>
      <c r="K57" s="1"/>
      <c r="R57" s="1"/>
      <c r="S57" s="1"/>
    </row>
    <row r="58" spans="10:19" ht="12.75" customHeight="1" x14ac:dyDescent="0.25">
      <c r="J58" s="1"/>
      <c r="K58" s="1"/>
      <c r="R58" s="1"/>
      <c r="S58" s="1"/>
    </row>
    <row r="59" spans="10:19" ht="12.75" customHeight="1" x14ac:dyDescent="0.25">
      <c r="J59" s="1"/>
      <c r="K59" s="1"/>
      <c r="R59" s="1"/>
      <c r="S59" s="1"/>
    </row>
    <row r="60" spans="10:19" ht="12.75" customHeight="1" x14ac:dyDescent="0.25">
      <c r="J60" s="1"/>
      <c r="K60" s="1"/>
      <c r="R60" s="1"/>
      <c r="S60" s="1"/>
    </row>
    <row r="61" spans="10:19" ht="12.75" customHeight="1" x14ac:dyDescent="0.25">
      <c r="J61" s="1"/>
      <c r="K61" s="1"/>
      <c r="R61" s="1"/>
      <c r="S61" s="1"/>
    </row>
    <row r="62" spans="10:19" ht="12.75" customHeight="1" x14ac:dyDescent="0.25">
      <c r="J62" s="1"/>
      <c r="K62" s="1"/>
      <c r="R62" s="1"/>
      <c r="S62" s="1"/>
    </row>
    <row r="63" spans="10:19" ht="12.75" customHeight="1" x14ac:dyDescent="0.25">
      <c r="J63" s="1"/>
      <c r="K63" s="1"/>
      <c r="R63" s="1"/>
      <c r="S63" s="1"/>
    </row>
    <row r="64" spans="10:19" ht="12.75" customHeight="1" x14ac:dyDescent="0.25">
      <c r="J64" s="1"/>
      <c r="K64" s="1"/>
      <c r="R64" s="1"/>
      <c r="S64" s="1"/>
    </row>
    <row r="65" spans="10:19" ht="12.75" customHeight="1" x14ac:dyDescent="0.25">
      <c r="J65" s="1"/>
      <c r="K65" s="1"/>
      <c r="R65" s="1"/>
      <c r="S65" s="1"/>
    </row>
    <row r="66" spans="10:19" ht="12.75" customHeight="1" x14ac:dyDescent="0.25">
      <c r="J66" s="1"/>
      <c r="K66" s="1"/>
      <c r="R66" s="1"/>
      <c r="S66" s="1"/>
    </row>
    <row r="67" spans="10:19" ht="12.75" customHeight="1" x14ac:dyDescent="0.25">
      <c r="J67" s="1"/>
      <c r="K67" s="1"/>
      <c r="R67" s="1"/>
      <c r="S67" s="1"/>
    </row>
    <row r="68" spans="10:19" ht="12.75" customHeight="1" x14ac:dyDescent="0.25">
      <c r="J68" s="1"/>
      <c r="K68" s="1"/>
      <c r="R68" s="1"/>
      <c r="S68" s="1"/>
    </row>
    <row r="69" spans="10:19" ht="12.75" customHeight="1" x14ac:dyDescent="0.25">
      <c r="J69" s="1"/>
      <c r="K69" s="1"/>
      <c r="R69" s="1"/>
      <c r="S69" s="1"/>
    </row>
    <row r="70" spans="10:19" ht="12.75" customHeight="1" x14ac:dyDescent="0.25">
      <c r="J70" s="1"/>
      <c r="K70" s="1"/>
      <c r="R70" s="1"/>
      <c r="S70" s="1"/>
    </row>
    <row r="71" spans="10:19" ht="12.75" customHeight="1" x14ac:dyDescent="0.25">
      <c r="J71" s="1"/>
      <c r="K71" s="1"/>
      <c r="R71" s="1"/>
      <c r="S71" s="1"/>
    </row>
    <row r="72" spans="10:19" ht="12.75" customHeight="1" x14ac:dyDescent="0.25">
      <c r="J72" s="1"/>
      <c r="K72" s="1"/>
      <c r="R72" s="1"/>
      <c r="S72" s="1"/>
    </row>
    <row r="73" spans="10:19" ht="12.75" customHeight="1" x14ac:dyDescent="0.25">
      <c r="J73" s="1"/>
      <c r="K73" s="1"/>
      <c r="R73" s="1"/>
      <c r="S73" s="1"/>
    </row>
    <row r="74" spans="10:19" ht="12.75" customHeight="1" x14ac:dyDescent="0.25">
      <c r="J74" s="1"/>
      <c r="K74" s="1"/>
      <c r="R74" s="1"/>
      <c r="S74" s="1"/>
    </row>
    <row r="75" spans="10:19" ht="12.75" customHeight="1" x14ac:dyDescent="0.25">
      <c r="J75" s="1"/>
      <c r="K75" s="1"/>
      <c r="R75" s="1"/>
      <c r="S75" s="1"/>
    </row>
    <row r="76" spans="10:19" ht="12.75" customHeight="1" x14ac:dyDescent="0.25">
      <c r="J76" s="1"/>
      <c r="K76" s="1"/>
      <c r="R76" s="1"/>
      <c r="S76" s="1"/>
    </row>
    <row r="77" spans="10:19" ht="12.75" customHeight="1" x14ac:dyDescent="0.25">
      <c r="J77" s="1"/>
      <c r="K77" s="1"/>
      <c r="R77" s="1"/>
      <c r="S77" s="1"/>
    </row>
    <row r="78" spans="10:19" ht="12.75" customHeight="1" x14ac:dyDescent="0.25">
      <c r="J78" s="1"/>
      <c r="K78" s="1"/>
      <c r="R78" s="1"/>
      <c r="S78" s="1"/>
    </row>
    <row r="79" spans="10:19" ht="12.75" customHeight="1" x14ac:dyDescent="0.25">
      <c r="J79" s="1"/>
      <c r="K79" s="1"/>
      <c r="R79" s="1"/>
      <c r="S79" s="1"/>
    </row>
    <row r="80" spans="10:19" ht="12.75" customHeight="1" x14ac:dyDescent="0.25">
      <c r="J80" s="1"/>
      <c r="K80" s="1"/>
      <c r="R80" s="1"/>
      <c r="S80" s="1"/>
    </row>
    <row r="81" spans="10:19" ht="12.75" customHeight="1" x14ac:dyDescent="0.25">
      <c r="J81" s="1"/>
      <c r="K81" s="1"/>
      <c r="R81" s="1"/>
      <c r="S81" s="1"/>
    </row>
    <row r="82" spans="10:19" ht="12.75" customHeight="1" x14ac:dyDescent="0.25">
      <c r="J82" s="1"/>
      <c r="K82" s="1"/>
      <c r="R82" s="1"/>
      <c r="S82" s="1"/>
    </row>
    <row r="83" spans="10:19" ht="12.75" customHeight="1" x14ac:dyDescent="0.25">
      <c r="J83" s="1"/>
      <c r="K83" s="1"/>
      <c r="R83" s="1"/>
      <c r="S83" s="1"/>
    </row>
    <row r="84" spans="10:19" ht="12.75" customHeight="1" x14ac:dyDescent="0.25">
      <c r="J84" s="1"/>
      <c r="K84" s="1"/>
      <c r="R84" s="1"/>
      <c r="S84" s="1"/>
    </row>
    <row r="85" spans="10:19" ht="12.75" customHeight="1" x14ac:dyDescent="0.25">
      <c r="J85" s="1"/>
      <c r="K85" s="1"/>
      <c r="R85" s="1"/>
      <c r="S85" s="1"/>
    </row>
    <row r="86" spans="10:19" ht="12.75" customHeight="1" x14ac:dyDescent="0.25">
      <c r="J86" s="1"/>
      <c r="K86" s="1"/>
      <c r="R86" s="1"/>
      <c r="S86" s="1"/>
    </row>
    <row r="87" spans="10:19" ht="12.75" customHeight="1" x14ac:dyDescent="0.25">
      <c r="J87" s="1"/>
      <c r="K87" s="1"/>
      <c r="R87" s="1"/>
      <c r="S87" s="1"/>
    </row>
    <row r="88" spans="10:19" ht="12.75" customHeight="1" x14ac:dyDescent="0.25">
      <c r="J88" s="1"/>
      <c r="K88" s="1"/>
      <c r="R88" s="1"/>
      <c r="S88" s="1"/>
    </row>
    <row r="89" spans="10:19" ht="12.75" customHeight="1" x14ac:dyDescent="0.25">
      <c r="J89" s="1"/>
      <c r="K89" s="1"/>
      <c r="R89" s="1"/>
      <c r="S89" s="1"/>
    </row>
    <row r="90" spans="10:19" ht="12.75" customHeight="1" x14ac:dyDescent="0.25">
      <c r="J90" s="1"/>
      <c r="K90" s="1"/>
      <c r="R90" s="1"/>
      <c r="S90" s="1"/>
    </row>
    <row r="91" spans="10:19" ht="12.75" customHeight="1" x14ac:dyDescent="0.25">
      <c r="J91" s="1"/>
      <c r="K91" s="1"/>
      <c r="R91" s="1"/>
      <c r="S91" s="1"/>
    </row>
    <row r="92" spans="10:19" ht="12.75" customHeight="1" x14ac:dyDescent="0.25">
      <c r="J92" s="1"/>
      <c r="K92" s="1"/>
      <c r="R92" s="1"/>
      <c r="S92" s="1"/>
    </row>
    <row r="93" spans="10:19" ht="12.75" customHeight="1" x14ac:dyDescent="0.25">
      <c r="J93" s="1"/>
      <c r="K93" s="1"/>
      <c r="R93" s="1"/>
      <c r="S93" s="1"/>
    </row>
    <row r="94" spans="10:19" ht="12.75" customHeight="1" x14ac:dyDescent="0.25">
      <c r="J94" s="1"/>
      <c r="K94" s="1"/>
      <c r="R94" s="1"/>
      <c r="S94" s="1"/>
    </row>
    <row r="95" spans="10:19" ht="12.75" customHeight="1" x14ac:dyDescent="0.25">
      <c r="J95" s="1"/>
      <c r="K95" s="1"/>
      <c r="R95" s="1"/>
      <c r="S95" s="1"/>
    </row>
    <row r="96" spans="10:19" ht="12.75" customHeight="1" x14ac:dyDescent="0.25">
      <c r="J96" s="1"/>
      <c r="K96" s="1"/>
      <c r="R96" s="1"/>
      <c r="S96" s="1"/>
    </row>
    <row r="97" spans="10:19" ht="12.75" customHeight="1" x14ac:dyDescent="0.25">
      <c r="J97" s="1"/>
      <c r="K97" s="1"/>
      <c r="R97" s="1"/>
      <c r="S97" s="1"/>
    </row>
    <row r="98" spans="10:19" ht="12.75" customHeight="1" x14ac:dyDescent="0.25">
      <c r="J98" s="1"/>
      <c r="K98" s="1"/>
      <c r="R98" s="1"/>
      <c r="S98" s="1"/>
    </row>
    <row r="99" spans="10:19" ht="12.75" customHeight="1" x14ac:dyDescent="0.25">
      <c r="J99" s="1"/>
      <c r="K99" s="1"/>
      <c r="R99" s="1"/>
      <c r="S99" s="1"/>
    </row>
    <row r="100" spans="10:19" ht="12.75" customHeight="1" x14ac:dyDescent="0.25">
      <c r="J100" s="1"/>
      <c r="K100" s="1"/>
      <c r="R100" s="1"/>
      <c r="S100" s="1"/>
    </row>
    <row r="101" spans="10:19" ht="12.75" customHeight="1" x14ac:dyDescent="0.25">
      <c r="J101" s="1"/>
      <c r="K101" s="1"/>
      <c r="R101" s="1"/>
      <c r="S101" s="1"/>
    </row>
    <row r="102" spans="10:19" ht="12.75" customHeight="1" x14ac:dyDescent="0.25">
      <c r="J102" s="1"/>
      <c r="K102" s="1"/>
      <c r="R102" s="1"/>
      <c r="S102" s="1"/>
    </row>
    <row r="103" spans="10:19" ht="12.75" customHeight="1" x14ac:dyDescent="0.25">
      <c r="J103" s="1"/>
      <c r="K103" s="1"/>
      <c r="R103" s="1"/>
      <c r="S103" s="1"/>
    </row>
    <row r="104" spans="10:19" ht="12.75" customHeight="1" x14ac:dyDescent="0.25">
      <c r="J104" s="1"/>
      <c r="K104" s="1"/>
      <c r="R104" s="1"/>
      <c r="S104" s="1"/>
    </row>
    <row r="105" spans="10:19" ht="12.75" customHeight="1" x14ac:dyDescent="0.25">
      <c r="J105" s="1"/>
      <c r="K105" s="1"/>
      <c r="R105" s="1"/>
      <c r="S105" s="1"/>
    </row>
    <row r="106" spans="10:19" ht="12.75" customHeight="1" x14ac:dyDescent="0.25">
      <c r="J106" s="1"/>
      <c r="K106" s="1"/>
      <c r="R106" s="1"/>
      <c r="S106" s="1"/>
    </row>
    <row r="107" spans="10:19" ht="12.75" customHeight="1" x14ac:dyDescent="0.25">
      <c r="J107" s="1"/>
      <c r="K107" s="1"/>
      <c r="R107" s="1"/>
      <c r="S107" s="1"/>
    </row>
    <row r="108" spans="10:19" ht="12.75" customHeight="1" x14ac:dyDescent="0.25">
      <c r="J108" s="1"/>
      <c r="K108" s="1"/>
      <c r="R108" s="1"/>
      <c r="S108" s="1"/>
    </row>
    <row r="109" spans="10:19" ht="12.75" customHeight="1" x14ac:dyDescent="0.25">
      <c r="J109" s="1"/>
      <c r="K109" s="1"/>
      <c r="R109" s="1"/>
      <c r="S109" s="1"/>
    </row>
    <row r="110" spans="10:19" ht="12.75" customHeight="1" x14ac:dyDescent="0.25">
      <c r="J110" s="1"/>
      <c r="K110" s="1"/>
      <c r="R110" s="1"/>
      <c r="S110" s="1"/>
    </row>
    <row r="111" spans="10:19" ht="12.75" customHeight="1" x14ac:dyDescent="0.25">
      <c r="J111" s="1"/>
      <c r="K111" s="1"/>
      <c r="R111" s="1"/>
      <c r="S111" s="1"/>
    </row>
    <row r="112" spans="10:19" ht="12.75" customHeight="1" x14ac:dyDescent="0.25">
      <c r="J112" s="1"/>
      <c r="K112" s="1"/>
      <c r="R112" s="1"/>
      <c r="S112" s="1"/>
    </row>
    <row r="113" spans="10:19" ht="12.75" customHeight="1" x14ac:dyDescent="0.25">
      <c r="J113" s="1"/>
      <c r="K113" s="1"/>
      <c r="R113" s="1"/>
      <c r="S113" s="1"/>
    </row>
    <row r="114" spans="10:19" ht="12.75" customHeight="1" x14ac:dyDescent="0.25">
      <c r="J114" s="1"/>
      <c r="K114" s="1"/>
      <c r="R114" s="1"/>
      <c r="S114" s="1"/>
    </row>
    <row r="115" spans="10:19" ht="12.75" customHeight="1" x14ac:dyDescent="0.25">
      <c r="J115" s="1"/>
      <c r="K115" s="1"/>
      <c r="R115" s="1"/>
      <c r="S115" s="1"/>
    </row>
    <row r="116" spans="10:19" ht="12.75" customHeight="1" x14ac:dyDescent="0.25">
      <c r="J116" s="1"/>
      <c r="K116" s="1"/>
      <c r="R116" s="1"/>
      <c r="S116" s="1"/>
    </row>
    <row r="117" spans="10:19" ht="12.75" customHeight="1" x14ac:dyDescent="0.25">
      <c r="J117" s="1"/>
      <c r="K117" s="1"/>
      <c r="R117" s="1"/>
      <c r="S117" s="1"/>
    </row>
    <row r="118" spans="10:19" ht="12.75" customHeight="1" x14ac:dyDescent="0.25">
      <c r="J118" s="1"/>
      <c r="K118" s="1"/>
      <c r="R118" s="1"/>
      <c r="S118" s="1"/>
    </row>
    <row r="119" spans="10:19" ht="12.75" customHeight="1" x14ac:dyDescent="0.25">
      <c r="J119" s="1"/>
      <c r="K119" s="1"/>
      <c r="R119" s="1"/>
      <c r="S119" s="1"/>
    </row>
    <row r="120" spans="10:19" ht="12.75" customHeight="1" x14ac:dyDescent="0.25">
      <c r="J120" s="1"/>
      <c r="K120" s="1"/>
      <c r="R120" s="1"/>
      <c r="S120" s="1"/>
    </row>
    <row r="121" spans="10:19" ht="12.75" customHeight="1" x14ac:dyDescent="0.25">
      <c r="J121" s="1"/>
      <c r="K121" s="1"/>
      <c r="R121" s="1"/>
      <c r="S121" s="1"/>
    </row>
    <row r="122" spans="10:19" ht="12.75" customHeight="1" x14ac:dyDescent="0.25">
      <c r="J122" s="1"/>
      <c r="K122" s="1"/>
      <c r="R122" s="1"/>
      <c r="S122" s="1"/>
    </row>
    <row r="123" spans="10:19" ht="12.75" customHeight="1" x14ac:dyDescent="0.25">
      <c r="J123" s="1"/>
      <c r="K123" s="1"/>
      <c r="R123" s="1"/>
      <c r="S123" s="1"/>
    </row>
    <row r="124" spans="10:19" ht="12.75" customHeight="1" x14ac:dyDescent="0.25">
      <c r="J124" s="1"/>
      <c r="K124" s="1"/>
      <c r="R124" s="1"/>
      <c r="S124" s="1"/>
    </row>
    <row r="125" spans="10:19" ht="12.75" customHeight="1" x14ac:dyDescent="0.25">
      <c r="J125" s="1"/>
      <c r="K125" s="1"/>
      <c r="R125" s="1"/>
      <c r="S125" s="1"/>
    </row>
    <row r="126" spans="10:19" ht="12.75" customHeight="1" x14ac:dyDescent="0.25">
      <c r="J126" s="1"/>
      <c r="K126" s="1"/>
      <c r="R126" s="1"/>
      <c r="S126" s="1"/>
    </row>
    <row r="127" spans="10:19" ht="12.75" customHeight="1" x14ac:dyDescent="0.25">
      <c r="J127" s="1"/>
      <c r="K127" s="1"/>
      <c r="R127" s="1"/>
      <c r="S127" s="1"/>
    </row>
    <row r="128" spans="10:19" ht="12.75" customHeight="1" x14ac:dyDescent="0.25">
      <c r="J128" s="1"/>
      <c r="K128" s="1"/>
      <c r="R128" s="1"/>
      <c r="S128" s="1"/>
    </row>
    <row r="129" spans="10:19" ht="12.75" customHeight="1" x14ac:dyDescent="0.25">
      <c r="J129" s="1"/>
      <c r="K129" s="1"/>
      <c r="R129" s="1"/>
      <c r="S129" s="1"/>
    </row>
    <row r="130" spans="10:19" ht="12.75" customHeight="1" x14ac:dyDescent="0.25">
      <c r="J130" s="1"/>
      <c r="K130" s="1"/>
      <c r="R130" s="1"/>
      <c r="S130" s="1"/>
    </row>
    <row r="131" spans="10:19" ht="12.75" customHeight="1" x14ac:dyDescent="0.25">
      <c r="J131" s="1"/>
      <c r="K131" s="1"/>
      <c r="R131" s="1"/>
      <c r="S131" s="1"/>
    </row>
    <row r="132" spans="10:19" ht="12.75" customHeight="1" x14ac:dyDescent="0.25">
      <c r="J132" s="1"/>
      <c r="K132" s="1"/>
      <c r="R132" s="1"/>
      <c r="S132" s="1"/>
    </row>
    <row r="133" spans="10:19" ht="12.75" customHeight="1" x14ac:dyDescent="0.25">
      <c r="J133" s="1"/>
      <c r="K133" s="1"/>
      <c r="R133" s="1"/>
      <c r="S133" s="1"/>
    </row>
    <row r="134" spans="10:19" ht="12.75" customHeight="1" x14ac:dyDescent="0.25">
      <c r="J134" s="1"/>
      <c r="K134" s="1"/>
      <c r="R134" s="1"/>
      <c r="S134" s="1"/>
    </row>
    <row r="135" spans="10:19" ht="12.75" customHeight="1" x14ac:dyDescent="0.25">
      <c r="J135" s="1"/>
      <c r="K135" s="1"/>
      <c r="R135" s="1"/>
      <c r="S135" s="1"/>
    </row>
    <row r="136" spans="10:19" ht="12.75" customHeight="1" x14ac:dyDescent="0.25">
      <c r="J136" s="1"/>
      <c r="K136" s="1"/>
      <c r="R136" s="1"/>
      <c r="S136" s="1"/>
    </row>
    <row r="137" spans="10:19" ht="12.75" customHeight="1" x14ac:dyDescent="0.25">
      <c r="J137" s="1"/>
      <c r="K137" s="1"/>
      <c r="R137" s="1"/>
      <c r="S137" s="1"/>
    </row>
    <row r="138" spans="10:19" ht="12.75" customHeight="1" x14ac:dyDescent="0.25">
      <c r="J138" s="1"/>
      <c r="K138" s="1"/>
      <c r="R138" s="1"/>
      <c r="S138" s="1"/>
    </row>
    <row r="139" spans="10:19" ht="12.75" customHeight="1" x14ac:dyDescent="0.25">
      <c r="J139" s="1"/>
      <c r="K139" s="1"/>
      <c r="R139" s="1"/>
      <c r="S139" s="1"/>
    </row>
    <row r="140" spans="10:19" ht="12.75" customHeight="1" x14ac:dyDescent="0.25">
      <c r="J140" s="1"/>
      <c r="K140" s="1"/>
      <c r="R140" s="1"/>
      <c r="S140" s="1"/>
    </row>
    <row r="141" spans="10:19" ht="12.75" customHeight="1" x14ac:dyDescent="0.25">
      <c r="J141" s="1"/>
      <c r="K141" s="1"/>
      <c r="R141" s="1"/>
      <c r="S141" s="1"/>
    </row>
    <row r="142" spans="10:19" ht="12.75" customHeight="1" x14ac:dyDescent="0.25">
      <c r="J142" s="1"/>
      <c r="K142" s="1"/>
      <c r="R142" s="1"/>
      <c r="S142" s="1"/>
    </row>
    <row r="143" spans="10:19" ht="12.75" customHeight="1" x14ac:dyDescent="0.25">
      <c r="J143" s="1"/>
      <c r="K143" s="1"/>
      <c r="R143" s="1"/>
      <c r="S143" s="1"/>
    </row>
    <row r="144" spans="10:19" ht="12.75" customHeight="1" x14ac:dyDescent="0.25">
      <c r="J144" s="1"/>
      <c r="K144" s="1"/>
      <c r="R144" s="1"/>
      <c r="S144" s="1"/>
    </row>
    <row r="145" spans="10:19" ht="12.75" customHeight="1" x14ac:dyDescent="0.25">
      <c r="J145" s="1"/>
      <c r="K145" s="1"/>
      <c r="R145" s="1"/>
      <c r="S145" s="1"/>
    </row>
    <row r="146" spans="10:19" ht="12.75" customHeight="1" x14ac:dyDescent="0.25">
      <c r="J146" s="1"/>
      <c r="K146" s="1"/>
      <c r="R146" s="1"/>
      <c r="S146" s="1"/>
    </row>
    <row r="147" spans="10:19" ht="12.75" customHeight="1" x14ac:dyDescent="0.25">
      <c r="J147" s="1"/>
      <c r="K147" s="1"/>
      <c r="R147" s="1"/>
      <c r="S147" s="1"/>
    </row>
    <row r="148" spans="10:19" ht="12.75" customHeight="1" x14ac:dyDescent="0.25">
      <c r="J148" s="1"/>
      <c r="K148" s="1"/>
      <c r="R148" s="1"/>
      <c r="S148" s="1"/>
    </row>
    <row r="149" spans="10:19" ht="12.75" customHeight="1" x14ac:dyDescent="0.25">
      <c r="J149" s="1"/>
      <c r="K149" s="1"/>
      <c r="R149" s="1"/>
      <c r="S149" s="1"/>
    </row>
    <row r="150" spans="10:19" ht="12.75" customHeight="1" x14ac:dyDescent="0.25">
      <c r="J150" s="1"/>
      <c r="K150" s="1"/>
      <c r="R150" s="1"/>
      <c r="S150" s="1"/>
    </row>
    <row r="151" spans="10:19" ht="12.75" customHeight="1" x14ac:dyDescent="0.25">
      <c r="J151" s="1"/>
      <c r="K151" s="1"/>
      <c r="R151" s="1"/>
      <c r="S151" s="1"/>
    </row>
    <row r="152" spans="10:19" ht="12.75" customHeight="1" x14ac:dyDescent="0.25">
      <c r="J152" s="1"/>
      <c r="K152" s="1"/>
      <c r="R152" s="1"/>
      <c r="S152" s="1"/>
    </row>
    <row r="153" spans="10:19" ht="12.75" customHeight="1" x14ac:dyDescent="0.25">
      <c r="J153" s="1"/>
      <c r="K153" s="1"/>
      <c r="R153" s="1"/>
      <c r="S153" s="1"/>
    </row>
    <row r="154" spans="10:19" ht="12.75" customHeight="1" x14ac:dyDescent="0.25">
      <c r="J154" s="1"/>
      <c r="K154" s="1"/>
      <c r="R154" s="1"/>
      <c r="S154" s="1"/>
    </row>
    <row r="155" spans="10:19" ht="12.75" customHeight="1" x14ac:dyDescent="0.25">
      <c r="J155" s="1"/>
      <c r="K155" s="1"/>
      <c r="R155" s="1"/>
      <c r="S155" s="1"/>
    </row>
    <row r="156" spans="10:19" ht="12.75" customHeight="1" x14ac:dyDescent="0.25">
      <c r="J156" s="1"/>
      <c r="K156" s="1"/>
      <c r="R156" s="1"/>
      <c r="S156" s="1"/>
    </row>
    <row r="157" spans="10:19" ht="12.75" customHeight="1" x14ac:dyDescent="0.25">
      <c r="J157" s="1"/>
      <c r="K157" s="1"/>
      <c r="R157" s="1"/>
      <c r="S157" s="1"/>
    </row>
    <row r="158" spans="10:19" ht="12.75" customHeight="1" x14ac:dyDescent="0.25">
      <c r="J158" s="1"/>
      <c r="K158" s="1"/>
      <c r="R158" s="1"/>
      <c r="S158" s="1"/>
    </row>
    <row r="159" spans="10:19" ht="12.75" customHeight="1" x14ac:dyDescent="0.25">
      <c r="J159" s="1"/>
      <c r="K159" s="1"/>
      <c r="R159" s="1"/>
      <c r="S159" s="1"/>
    </row>
    <row r="160" spans="10:19" ht="12.75" customHeight="1" x14ac:dyDescent="0.25">
      <c r="J160" s="1"/>
      <c r="K160" s="1"/>
      <c r="R160" s="1"/>
      <c r="S160" s="1"/>
    </row>
    <row r="161" spans="10:19" ht="12.75" customHeight="1" x14ac:dyDescent="0.25">
      <c r="J161" s="1"/>
      <c r="K161" s="1"/>
      <c r="R161" s="1"/>
      <c r="S161" s="1"/>
    </row>
    <row r="162" spans="10:19" ht="12.75" customHeight="1" x14ac:dyDescent="0.25">
      <c r="J162" s="1"/>
      <c r="K162" s="1"/>
      <c r="R162" s="1"/>
      <c r="S162" s="1"/>
    </row>
    <row r="163" spans="10:19" ht="12.75" customHeight="1" x14ac:dyDescent="0.25">
      <c r="J163" s="1"/>
      <c r="K163" s="1"/>
      <c r="R163" s="1"/>
      <c r="S163" s="1"/>
    </row>
    <row r="164" spans="10:19" ht="12.75" customHeight="1" x14ac:dyDescent="0.25">
      <c r="J164" s="1"/>
      <c r="K164" s="1"/>
      <c r="R164" s="1"/>
      <c r="S164" s="1"/>
    </row>
    <row r="165" spans="10:19" ht="12.75" customHeight="1" x14ac:dyDescent="0.25">
      <c r="J165" s="1"/>
      <c r="K165" s="1"/>
      <c r="R165" s="1"/>
      <c r="S165" s="1"/>
    </row>
    <row r="166" spans="10:19" ht="12.75" customHeight="1" x14ac:dyDescent="0.25">
      <c r="J166" s="1"/>
      <c r="K166" s="1"/>
      <c r="R166" s="1"/>
      <c r="S166" s="1"/>
    </row>
    <row r="167" spans="10:19" ht="12.75" customHeight="1" x14ac:dyDescent="0.25">
      <c r="J167" s="1"/>
      <c r="K167" s="1"/>
      <c r="R167" s="1"/>
      <c r="S167" s="1"/>
    </row>
    <row r="168" spans="10:19" ht="12.75" customHeight="1" x14ac:dyDescent="0.25">
      <c r="J168" s="1"/>
      <c r="K168" s="1"/>
      <c r="R168" s="1"/>
      <c r="S168" s="1"/>
    </row>
    <row r="169" spans="10:19" ht="12.75" customHeight="1" x14ac:dyDescent="0.25">
      <c r="J169" s="1"/>
      <c r="K169" s="1"/>
      <c r="R169" s="1"/>
      <c r="S169" s="1"/>
    </row>
    <row r="170" spans="10:19" ht="12.75" customHeight="1" x14ac:dyDescent="0.25">
      <c r="J170" s="1"/>
      <c r="K170" s="1"/>
      <c r="R170" s="1"/>
      <c r="S170" s="1"/>
    </row>
    <row r="171" spans="10:19" ht="12.75" customHeight="1" x14ac:dyDescent="0.25">
      <c r="J171" s="1"/>
      <c r="K171" s="1"/>
      <c r="R171" s="1"/>
      <c r="S171" s="1"/>
    </row>
    <row r="172" spans="10:19" ht="12.75" customHeight="1" x14ac:dyDescent="0.25">
      <c r="J172" s="1"/>
      <c r="K172" s="1"/>
      <c r="R172" s="1"/>
      <c r="S172" s="1"/>
    </row>
    <row r="173" spans="10:19" ht="12.75" customHeight="1" x14ac:dyDescent="0.25">
      <c r="J173" s="1"/>
      <c r="K173" s="1"/>
      <c r="R173" s="1"/>
      <c r="S173" s="1"/>
    </row>
    <row r="174" spans="10:19" ht="12.75" customHeight="1" x14ac:dyDescent="0.25">
      <c r="J174" s="1"/>
      <c r="K174" s="1"/>
      <c r="R174" s="1"/>
      <c r="S174" s="1"/>
    </row>
    <row r="175" spans="10:19" ht="12.75" customHeight="1" x14ac:dyDescent="0.25">
      <c r="J175" s="1"/>
      <c r="K175" s="1"/>
      <c r="R175" s="1"/>
      <c r="S175" s="1"/>
    </row>
    <row r="176" spans="10:19" ht="12.75" customHeight="1" x14ac:dyDescent="0.25">
      <c r="J176" s="1"/>
      <c r="K176" s="1"/>
      <c r="R176" s="1"/>
      <c r="S176" s="1"/>
    </row>
    <row r="177" spans="10:19" ht="12.75" customHeight="1" x14ac:dyDescent="0.25">
      <c r="J177" s="1"/>
      <c r="K177" s="1"/>
      <c r="R177" s="1"/>
      <c r="S177" s="1"/>
    </row>
    <row r="178" spans="10:19" ht="12.75" customHeight="1" x14ac:dyDescent="0.25">
      <c r="J178" s="1"/>
      <c r="K178" s="1"/>
      <c r="R178" s="1"/>
      <c r="S178" s="1"/>
    </row>
    <row r="179" spans="10:19" ht="12.75" customHeight="1" x14ac:dyDescent="0.25">
      <c r="J179" s="1"/>
      <c r="K179" s="1"/>
      <c r="R179" s="1"/>
      <c r="S179" s="1"/>
    </row>
    <row r="180" spans="10:19" ht="12.75" customHeight="1" x14ac:dyDescent="0.25">
      <c r="J180" s="1"/>
      <c r="K180" s="1"/>
      <c r="R180" s="1"/>
      <c r="S180" s="1"/>
    </row>
    <row r="181" spans="10:19" ht="12.75" customHeight="1" x14ac:dyDescent="0.25">
      <c r="J181" s="1"/>
      <c r="K181" s="1"/>
      <c r="R181" s="1"/>
      <c r="S181" s="1"/>
    </row>
    <row r="182" spans="10:19" ht="12.75" customHeight="1" x14ac:dyDescent="0.25">
      <c r="J182" s="1"/>
      <c r="K182" s="1"/>
      <c r="R182" s="1"/>
      <c r="S182" s="1"/>
    </row>
    <row r="183" spans="10:19" ht="12.75" customHeight="1" x14ac:dyDescent="0.25">
      <c r="J183" s="1"/>
      <c r="K183" s="1"/>
      <c r="R183" s="1"/>
      <c r="S183" s="1"/>
    </row>
    <row r="184" spans="10:19" ht="12.75" customHeight="1" x14ac:dyDescent="0.25">
      <c r="J184" s="1"/>
      <c r="K184" s="1"/>
      <c r="R184" s="1"/>
      <c r="S184" s="1"/>
    </row>
    <row r="185" spans="10:19" ht="12.75" customHeight="1" x14ac:dyDescent="0.25">
      <c r="J185" s="1"/>
      <c r="K185" s="1"/>
      <c r="R185" s="1"/>
      <c r="S185" s="1"/>
    </row>
    <row r="186" spans="10:19" ht="12.75" customHeight="1" x14ac:dyDescent="0.25">
      <c r="J186" s="1"/>
      <c r="K186" s="1"/>
      <c r="R186" s="1"/>
      <c r="S186" s="1"/>
    </row>
    <row r="187" spans="10:19" ht="12.75" customHeight="1" x14ac:dyDescent="0.25">
      <c r="J187" s="1"/>
      <c r="K187" s="1"/>
      <c r="R187" s="1"/>
      <c r="S187" s="1"/>
    </row>
    <row r="188" spans="10:19" ht="12.75" customHeight="1" x14ac:dyDescent="0.25">
      <c r="J188" s="1"/>
      <c r="K188" s="1"/>
      <c r="R188" s="1"/>
      <c r="S188" s="1"/>
    </row>
    <row r="189" spans="10:19" ht="12.75" customHeight="1" x14ac:dyDescent="0.25">
      <c r="J189" s="1"/>
      <c r="K189" s="1"/>
      <c r="R189" s="1"/>
      <c r="S189" s="1"/>
    </row>
    <row r="190" spans="10:19" ht="12.75" customHeight="1" x14ac:dyDescent="0.25">
      <c r="J190" s="1"/>
      <c r="K190" s="1"/>
      <c r="R190" s="1"/>
      <c r="S190" s="1"/>
    </row>
    <row r="191" spans="10:19" ht="12.75" customHeight="1" x14ac:dyDescent="0.25">
      <c r="J191" s="1"/>
      <c r="K191" s="1"/>
      <c r="R191" s="1"/>
      <c r="S191" s="1"/>
    </row>
    <row r="192" spans="10:19" ht="12.75" customHeight="1" x14ac:dyDescent="0.25">
      <c r="J192" s="1"/>
      <c r="K192" s="1"/>
      <c r="R192" s="1"/>
      <c r="S192" s="1"/>
    </row>
    <row r="193" spans="10:19" ht="12.75" customHeight="1" x14ac:dyDescent="0.25">
      <c r="J193" s="1"/>
      <c r="K193" s="1"/>
      <c r="R193" s="1"/>
      <c r="S193" s="1"/>
    </row>
    <row r="194" spans="10:19" ht="12.75" customHeight="1" x14ac:dyDescent="0.25">
      <c r="J194" s="1"/>
      <c r="K194" s="1"/>
      <c r="R194" s="1"/>
      <c r="S194" s="1"/>
    </row>
    <row r="195" spans="10:19" ht="12.75" customHeight="1" x14ac:dyDescent="0.25">
      <c r="J195" s="1"/>
      <c r="K195" s="1"/>
      <c r="R195" s="1"/>
      <c r="S195" s="1"/>
    </row>
    <row r="196" spans="10:19" ht="12.75" customHeight="1" x14ac:dyDescent="0.25">
      <c r="J196" s="1"/>
      <c r="K196" s="1"/>
      <c r="R196" s="1"/>
      <c r="S196" s="1"/>
    </row>
    <row r="197" spans="10:19" ht="12.75" customHeight="1" x14ac:dyDescent="0.25">
      <c r="J197" s="1"/>
      <c r="K197" s="1"/>
      <c r="R197" s="1"/>
      <c r="S197" s="1"/>
    </row>
    <row r="198" spans="10:19" ht="12.75" customHeight="1" x14ac:dyDescent="0.25">
      <c r="J198" s="1"/>
      <c r="K198" s="1"/>
      <c r="R198" s="1"/>
      <c r="S198" s="1"/>
    </row>
    <row r="199" spans="10:19" ht="12.75" customHeight="1" x14ac:dyDescent="0.25">
      <c r="J199" s="1"/>
      <c r="K199" s="1"/>
      <c r="R199" s="1"/>
      <c r="S199" s="1"/>
    </row>
    <row r="200" spans="10:19" ht="12.75" customHeight="1" x14ac:dyDescent="0.25">
      <c r="J200" s="1"/>
      <c r="K200" s="1"/>
      <c r="R200" s="1"/>
      <c r="S200" s="1"/>
    </row>
    <row r="201" spans="10:19" ht="12.75" customHeight="1" x14ac:dyDescent="0.25">
      <c r="J201" s="1"/>
      <c r="K201" s="1"/>
      <c r="R201" s="1"/>
      <c r="S201" s="1"/>
    </row>
    <row r="202" spans="10:19" ht="12.75" customHeight="1" x14ac:dyDescent="0.25">
      <c r="J202" s="1"/>
      <c r="K202" s="1"/>
      <c r="R202" s="1"/>
      <c r="S202" s="1"/>
    </row>
    <row r="203" spans="10:19" ht="12.75" customHeight="1" x14ac:dyDescent="0.25">
      <c r="J203" s="1"/>
      <c r="K203" s="1"/>
      <c r="R203" s="1"/>
      <c r="S203" s="1"/>
    </row>
    <row r="204" spans="10:19" ht="12.75" customHeight="1" x14ac:dyDescent="0.25">
      <c r="J204" s="1"/>
      <c r="K204" s="1"/>
      <c r="R204" s="1"/>
      <c r="S204" s="1"/>
    </row>
    <row r="205" spans="10:19" ht="12.75" customHeight="1" x14ac:dyDescent="0.25">
      <c r="J205" s="1"/>
      <c r="K205" s="1"/>
      <c r="R205" s="1"/>
      <c r="S205" s="1"/>
    </row>
    <row r="206" spans="10:19" ht="12.75" customHeight="1" x14ac:dyDescent="0.25">
      <c r="J206" s="1"/>
      <c r="K206" s="1"/>
      <c r="R206" s="1"/>
      <c r="S206" s="1"/>
    </row>
    <row r="207" spans="10:19" ht="12.75" customHeight="1" x14ac:dyDescent="0.25">
      <c r="J207" s="1"/>
      <c r="K207" s="1"/>
      <c r="R207" s="1"/>
      <c r="S207" s="1"/>
    </row>
    <row r="208" spans="10:19" ht="12.75" customHeight="1" x14ac:dyDescent="0.25">
      <c r="J208" s="1"/>
      <c r="K208" s="1"/>
      <c r="R208" s="1"/>
      <c r="S208" s="1"/>
    </row>
    <row r="209" spans="10:19" ht="12.75" customHeight="1" x14ac:dyDescent="0.25">
      <c r="J209" s="1"/>
      <c r="K209" s="1"/>
      <c r="R209" s="1"/>
      <c r="S209" s="1"/>
    </row>
    <row r="210" spans="10:19" ht="12.75" customHeight="1" x14ac:dyDescent="0.25">
      <c r="J210" s="1"/>
      <c r="K210" s="1"/>
      <c r="R210" s="1"/>
      <c r="S210" s="1"/>
    </row>
    <row r="211" spans="10:19" ht="12.75" customHeight="1" x14ac:dyDescent="0.25">
      <c r="J211" s="1"/>
      <c r="K211" s="1"/>
      <c r="R211" s="1"/>
      <c r="S211" s="1"/>
    </row>
    <row r="212" spans="10:19" ht="12.75" customHeight="1" x14ac:dyDescent="0.25">
      <c r="J212" s="1"/>
      <c r="K212" s="1"/>
      <c r="R212" s="1"/>
      <c r="S212" s="1"/>
    </row>
    <row r="213" spans="10:19" ht="12.75" customHeight="1" x14ac:dyDescent="0.25">
      <c r="J213" s="1"/>
      <c r="K213" s="1"/>
      <c r="R213" s="1"/>
      <c r="S213" s="1"/>
    </row>
    <row r="214" spans="10:19" ht="12.75" customHeight="1" x14ac:dyDescent="0.25">
      <c r="J214" s="1"/>
      <c r="K214" s="1"/>
      <c r="R214" s="1"/>
      <c r="S214" s="1"/>
    </row>
    <row r="215" spans="10:19" ht="12.75" customHeight="1" x14ac:dyDescent="0.25">
      <c r="J215" s="1"/>
      <c r="K215" s="1"/>
      <c r="R215" s="1"/>
      <c r="S215" s="1"/>
    </row>
    <row r="216" spans="10:19" ht="12.75" customHeight="1" x14ac:dyDescent="0.25">
      <c r="J216" s="1"/>
      <c r="K216" s="1"/>
      <c r="R216" s="1"/>
      <c r="S216" s="1"/>
    </row>
    <row r="217" spans="10:19" ht="12.75" customHeight="1" x14ac:dyDescent="0.25">
      <c r="J217" s="1"/>
      <c r="K217" s="1"/>
      <c r="R217" s="1"/>
      <c r="S217" s="1"/>
    </row>
    <row r="218" spans="10:19" ht="12.75" customHeight="1" x14ac:dyDescent="0.25">
      <c r="J218" s="1"/>
      <c r="K218" s="1"/>
      <c r="R218" s="1"/>
      <c r="S218" s="1"/>
    </row>
    <row r="219" spans="10:19" ht="12.75" customHeight="1" x14ac:dyDescent="0.25">
      <c r="J219" s="1"/>
      <c r="K219" s="1"/>
      <c r="R219" s="1"/>
      <c r="S219" s="1"/>
    </row>
    <row r="220" spans="10:19" ht="12.75" customHeight="1" x14ac:dyDescent="0.25">
      <c r="J220" s="1"/>
      <c r="K220" s="1"/>
      <c r="R220" s="1"/>
      <c r="S220" s="1"/>
    </row>
    <row r="221" spans="10:19" ht="12.75" customHeight="1" x14ac:dyDescent="0.25">
      <c r="J221" s="1"/>
      <c r="K221" s="1"/>
      <c r="R221" s="1"/>
      <c r="S221" s="1"/>
    </row>
    <row r="222" spans="10:19" ht="12.75" customHeight="1" x14ac:dyDescent="0.25">
      <c r="J222" s="1"/>
      <c r="K222" s="1"/>
      <c r="R222" s="1"/>
      <c r="S222" s="1"/>
    </row>
    <row r="223" spans="10:19" ht="12.75" customHeight="1" x14ac:dyDescent="0.25">
      <c r="J223" s="1"/>
      <c r="K223" s="1"/>
      <c r="R223" s="1"/>
      <c r="S223" s="1"/>
    </row>
    <row r="224" spans="10:19" ht="12.75" customHeight="1" x14ac:dyDescent="0.25">
      <c r="J224" s="1"/>
      <c r="K224" s="1"/>
      <c r="R224" s="1"/>
      <c r="S224" s="1"/>
    </row>
    <row r="225" spans="10:19" ht="12.75" customHeight="1" x14ac:dyDescent="0.25">
      <c r="J225" s="1"/>
      <c r="K225" s="1"/>
      <c r="R225" s="1"/>
      <c r="S225" s="1"/>
    </row>
    <row r="226" spans="10:19" ht="12.75" customHeight="1" x14ac:dyDescent="0.25">
      <c r="J226" s="1"/>
      <c r="K226" s="1"/>
      <c r="R226" s="1"/>
      <c r="S226" s="1"/>
    </row>
    <row r="227" spans="10:19" ht="12.75" customHeight="1" x14ac:dyDescent="0.25">
      <c r="J227" s="1"/>
      <c r="K227" s="1"/>
      <c r="R227" s="1"/>
      <c r="S227" s="1"/>
    </row>
    <row r="228" spans="10:19" ht="12.75" customHeight="1" x14ac:dyDescent="0.25">
      <c r="J228" s="1"/>
      <c r="K228" s="1"/>
      <c r="R228" s="1"/>
      <c r="S228" s="1"/>
    </row>
    <row r="229" spans="10:19" ht="12.75" customHeight="1" x14ac:dyDescent="0.25">
      <c r="J229" s="1"/>
      <c r="K229" s="1"/>
      <c r="R229" s="1"/>
      <c r="S229" s="1"/>
    </row>
    <row r="230" spans="10:19" ht="12.75" customHeight="1" x14ac:dyDescent="0.25">
      <c r="J230" s="1"/>
      <c r="K230" s="1"/>
      <c r="R230" s="1"/>
      <c r="S230" s="1"/>
    </row>
    <row r="231" spans="10:19" ht="12.75" customHeight="1" x14ac:dyDescent="0.25">
      <c r="J231" s="1"/>
      <c r="K231" s="1"/>
      <c r="R231" s="1"/>
      <c r="S231" s="1"/>
    </row>
    <row r="232" spans="10:19" ht="12.75" customHeight="1" x14ac:dyDescent="0.25">
      <c r="J232" s="1"/>
      <c r="K232" s="1"/>
      <c r="R232" s="1"/>
      <c r="S232" s="1"/>
    </row>
    <row r="233" spans="10:19" ht="12.75" customHeight="1" x14ac:dyDescent="0.25">
      <c r="J233" s="1"/>
      <c r="K233" s="1"/>
      <c r="R233" s="1"/>
      <c r="S233" s="1"/>
    </row>
    <row r="234" spans="10:19" ht="12.75" customHeight="1" x14ac:dyDescent="0.25">
      <c r="J234" s="1"/>
      <c r="K234" s="1"/>
      <c r="R234" s="1"/>
      <c r="S234" s="1"/>
    </row>
    <row r="235" spans="10:19" ht="12.75" customHeight="1" x14ac:dyDescent="0.25">
      <c r="J235" s="1"/>
      <c r="K235" s="1"/>
      <c r="R235" s="1"/>
      <c r="S235" s="1"/>
    </row>
    <row r="236" spans="10:19" ht="12.75" customHeight="1" x14ac:dyDescent="0.25">
      <c r="J236" s="1"/>
      <c r="K236" s="1"/>
      <c r="R236" s="1"/>
      <c r="S236" s="1"/>
    </row>
    <row r="237" spans="10:19" ht="12.75" customHeight="1" x14ac:dyDescent="0.25">
      <c r="J237" s="1"/>
      <c r="K237" s="1"/>
      <c r="R237" s="1"/>
      <c r="S237" s="1"/>
    </row>
    <row r="238" spans="10:19" ht="12.75" customHeight="1" x14ac:dyDescent="0.25">
      <c r="J238" s="1"/>
      <c r="K238" s="1"/>
      <c r="R238" s="1"/>
      <c r="S238" s="1"/>
    </row>
    <row r="239" spans="10:19" ht="12.75" customHeight="1" x14ac:dyDescent="0.25">
      <c r="J239" s="1"/>
      <c r="K239" s="1"/>
      <c r="R239" s="1"/>
      <c r="S239" s="1"/>
    </row>
    <row r="240" spans="10:19" ht="12.75" customHeight="1" x14ac:dyDescent="0.25">
      <c r="J240" s="1"/>
      <c r="K240" s="1"/>
      <c r="R240" s="1"/>
      <c r="S240" s="1"/>
    </row>
    <row r="241" spans="10:19" ht="12.75" customHeight="1" x14ac:dyDescent="0.25">
      <c r="J241" s="1"/>
      <c r="K241" s="1"/>
      <c r="R241" s="1"/>
      <c r="S241" s="1"/>
    </row>
    <row r="242" spans="10:19" ht="12.75" customHeight="1" x14ac:dyDescent="0.25">
      <c r="J242" s="1"/>
      <c r="K242" s="1"/>
      <c r="R242" s="1"/>
      <c r="S242" s="1"/>
    </row>
    <row r="243" spans="10:19" ht="12.75" customHeight="1" x14ac:dyDescent="0.25">
      <c r="J243" s="1"/>
      <c r="K243" s="1"/>
      <c r="R243" s="1"/>
      <c r="S243" s="1"/>
    </row>
    <row r="244" spans="10:19" ht="12.75" customHeight="1" x14ac:dyDescent="0.25">
      <c r="J244" s="1"/>
      <c r="K244" s="1"/>
      <c r="R244" s="1"/>
      <c r="S244" s="1"/>
    </row>
    <row r="245" spans="10:19" ht="12.75" customHeight="1" x14ac:dyDescent="0.25">
      <c r="J245" s="1"/>
      <c r="K245" s="1"/>
      <c r="R245" s="1"/>
      <c r="S245" s="1"/>
    </row>
    <row r="246" spans="10:19" ht="12.75" customHeight="1" x14ac:dyDescent="0.25">
      <c r="J246" s="1"/>
      <c r="K246" s="1"/>
      <c r="R246" s="1"/>
      <c r="S246" s="1"/>
    </row>
    <row r="247" spans="10:19" ht="12.75" customHeight="1" x14ac:dyDescent="0.25">
      <c r="J247" s="1"/>
      <c r="K247" s="1"/>
      <c r="R247" s="1"/>
      <c r="S247" s="1"/>
    </row>
    <row r="248" spans="10:19" ht="12.75" customHeight="1" x14ac:dyDescent="0.25">
      <c r="J248" s="1"/>
      <c r="K248" s="1"/>
      <c r="R248" s="1"/>
      <c r="S248" s="1"/>
    </row>
    <row r="249" spans="10:19" ht="12.75" customHeight="1" x14ac:dyDescent="0.25">
      <c r="J249" s="1"/>
      <c r="K249" s="1"/>
      <c r="R249" s="1"/>
      <c r="S249" s="1"/>
    </row>
    <row r="250" spans="10:19" ht="12.75" customHeight="1" x14ac:dyDescent="0.25">
      <c r="J250" s="1"/>
      <c r="K250" s="1"/>
      <c r="R250" s="1"/>
      <c r="S250" s="1"/>
    </row>
    <row r="251" spans="10:19" ht="12.75" customHeight="1" x14ac:dyDescent="0.25">
      <c r="J251" s="1"/>
      <c r="K251" s="1"/>
      <c r="R251" s="1"/>
      <c r="S251" s="1"/>
    </row>
    <row r="252" spans="10:19" ht="12.75" customHeight="1" x14ac:dyDescent="0.25">
      <c r="J252" s="1"/>
      <c r="K252" s="1"/>
      <c r="R252" s="1"/>
      <c r="S252" s="1"/>
    </row>
    <row r="253" spans="10:19" ht="12.75" customHeight="1" x14ac:dyDescent="0.25">
      <c r="J253" s="1"/>
      <c r="K253" s="1"/>
      <c r="R253" s="1"/>
      <c r="S253" s="1"/>
    </row>
    <row r="254" spans="10:19" ht="12.75" customHeight="1" x14ac:dyDescent="0.25">
      <c r="J254" s="1"/>
      <c r="K254" s="1"/>
      <c r="R254" s="1"/>
      <c r="S254" s="1"/>
    </row>
    <row r="255" spans="10:19" ht="12.75" customHeight="1" x14ac:dyDescent="0.25">
      <c r="J255" s="1"/>
      <c r="K255" s="1"/>
      <c r="R255" s="1"/>
      <c r="S255" s="1"/>
    </row>
    <row r="256" spans="10:19" ht="12.75" customHeight="1" x14ac:dyDescent="0.25">
      <c r="J256" s="1"/>
      <c r="K256" s="1"/>
      <c r="R256" s="1"/>
      <c r="S256" s="1"/>
    </row>
    <row r="257" spans="10:19" ht="12.75" customHeight="1" x14ac:dyDescent="0.25">
      <c r="J257" s="1"/>
      <c r="K257" s="1"/>
      <c r="R257" s="1"/>
      <c r="S257" s="1"/>
    </row>
    <row r="258" spans="10:19" ht="12.75" customHeight="1" x14ac:dyDescent="0.25">
      <c r="J258" s="1"/>
      <c r="K258" s="1"/>
      <c r="R258" s="1"/>
      <c r="S258" s="1"/>
    </row>
    <row r="259" spans="10:19" ht="12.75" customHeight="1" x14ac:dyDescent="0.25">
      <c r="J259" s="1"/>
      <c r="K259" s="1"/>
      <c r="R259" s="1"/>
      <c r="S259" s="1"/>
    </row>
    <row r="260" spans="10:19" ht="12.75" customHeight="1" x14ac:dyDescent="0.25">
      <c r="J260" s="1"/>
      <c r="K260" s="1"/>
      <c r="R260" s="1"/>
      <c r="S260" s="1"/>
    </row>
    <row r="261" spans="10:19" ht="12.75" customHeight="1" x14ac:dyDescent="0.25">
      <c r="J261" s="1"/>
      <c r="K261" s="1"/>
      <c r="R261" s="1"/>
      <c r="S261" s="1"/>
    </row>
    <row r="262" spans="10:19" ht="12.75" customHeight="1" x14ac:dyDescent="0.25">
      <c r="J262" s="1"/>
      <c r="K262" s="1"/>
      <c r="R262" s="1"/>
      <c r="S262" s="1"/>
    </row>
    <row r="263" spans="10:19" ht="12.75" customHeight="1" x14ac:dyDescent="0.25">
      <c r="J263" s="1"/>
      <c r="K263" s="1"/>
      <c r="R263" s="1"/>
      <c r="S263" s="1"/>
    </row>
    <row r="264" spans="10:19" ht="12.75" customHeight="1" x14ac:dyDescent="0.25">
      <c r="J264" s="1"/>
      <c r="K264" s="1"/>
      <c r="R264" s="1"/>
      <c r="S264" s="1"/>
    </row>
    <row r="265" spans="10:19" ht="12.75" customHeight="1" x14ac:dyDescent="0.25">
      <c r="J265" s="1"/>
      <c r="K265" s="1"/>
      <c r="R265" s="1"/>
      <c r="S265" s="1"/>
    </row>
  </sheetData>
  <mergeCells count="13">
    <mergeCell ref="G35:H35"/>
    <mergeCell ref="J35:K35"/>
    <mergeCell ref="N35:P35"/>
    <mergeCell ref="R35:S35"/>
    <mergeCell ref="E5:F5"/>
    <mergeCell ref="G5:H5"/>
    <mergeCell ref="J5:K5"/>
    <mergeCell ref="N5:P5"/>
    <mergeCell ref="R5:S5"/>
    <mergeCell ref="G20:H20"/>
    <mergeCell ref="J20:K20"/>
    <mergeCell ref="N20:P20"/>
    <mergeCell ref="R20:S20"/>
  </mergeCells>
  <conditionalFormatting sqref="C1:C4 C6:C8 C15:C23 D17:F17 C30:C31 C32:F32 C33:C38 C45:C46 C47:F47 C48:C1048576">
    <cfRule type="containsText" dxfId="8" priority="1" operator="containsText" text="BOUTEILLES">
      <formula>NOT(ISERROR(SEARCH("BOUTEILLES",C1)))</formula>
    </cfRule>
  </conditionalFormatting>
  <conditionalFormatting sqref="K8:K15 S8:S15 K23:K30 S23:S30 K38:K45 S38:S45">
    <cfRule type="cellIs" dxfId="7" priority="2" operator="equal">
      <formula>""""""</formula>
    </cfRule>
    <cfRule type="cellIs" dxfId="6" priority="3" operator="equal">
      <formula>0</formula>
    </cfRule>
    <cfRule type="cellIs" dxfId="5" priority="4" operator="lessThan">
      <formula>0</formula>
    </cfRule>
    <cfRule type="cellIs" dxfId="4" priority="5" operator="greaterThan">
      <formula>0</formula>
    </cfRule>
  </conditionalFormatting>
  <hyperlinks>
    <hyperlink ref="S1" location="Accueil!A1" tooltip="Menu" display="Menu"/>
  </hyperlinks>
  <pageMargins left="0.70866141732283472" right="0.70866141732283472" top="0.32" bottom="0.42" header="0.17" footer="0.17"/>
  <pageSetup paperSize="9" scale="64" fitToHeight="0" orientation="landscape" r:id="rId1"/>
  <headerFooter>
    <oddFooter>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Accueil</vt:lpstr>
      <vt:lpstr>Btles Neuve _ DV</vt:lpstr>
      <vt:lpstr>Btles HS _ DV</vt:lpstr>
      <vt:lpstr>RECONFIGURATION</vt:lpstr>
      <vt:lpstr>Consigne _ CE</vt:lpstr>
      <vt:lpstr>PARC BOUTEILLES CE (PI &amp; TEMCI)</vt:lpstr>
      <vt:lpstr>Synthèses Stocks (2)</vt:lpstr>
      <vt:lpstr>STOCK OUTILS VIVO</vt:lpstr>
      <vt:lpstr>PEINTURE TDS </vt:lpstr>
      <vt:lpstr>Synthèses 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Anouma, Camille Amon - cake on FRB4260B1X</dc:creator>
  <cp:lastModifiedBy>EMMANUELLA EC. COC</cp:lastModifiedBy>
  <cp:lastPrinted>2025-07-09T14:26:11Z</cp:lastPrinted>
  <dcterms:created xsi:type="dcterms:W3CDTF">2009-03-05T16:38:15Z</dcterms:created>
  <dcterms:modified xsi:type="dcterms:W3CDTF">2026-01-05T11:26:01Z</dcterms:modified>
</cp:coreProperties>
</file>